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defaultThemeVersion="124226"/>
  <mc:AlternateContent xmlns:mc="http://schemas.openxmlformats.org/markup-compatibility/2006">
    <mc:Choice Requires="x15">
      <x15ac:absPath xmlns:x15ac="http://schemas.microsoft.com/office/spreadsheetml/2010/11/ac" url="S:\Departments\Loans\Chester\Commercial Loans\1TEMPLATE\"/>
    </mc:Choice>
  </mc:AlternateContent>
  <xr:revisionPtr revIDLastSave="0" documentId="13_ncr:1_{68D6095E-8902-49A3-B8EA-A9E0DA8066CD}" xr6:coauthVersionLast="45" xr6:coauthVersionMax="45" xr10:uidLastSave="{00000000-0000-0000-0000-000000000000}"/>
  <bookViews>
    <workbookView xWindow="-135" yWindow="60" windowWidth="29040" windowHeight="15840" tabRatio="783" xr2:uid="{00000000-000D-0000-FFFF-FFFF00000000}"/>
  </bookViews>
  <sheets>
    <sheet name="Balance Sheet" sheetId="1" r:id="rId1"/>
    <sheet name="Annual Budget" sheetId="2" r:id="rId2"/>
    <sheet name="Monthly Budget" sheetId="3" r:id="rId3"/>
    <sheet name="Machinery Schedule" sheetId="4" r:id="rId4"/>
    <sheet name="Current Coll. Val." sheetId="5" r:id="rId5"/>
    <sheet name="Pro forma Coll. Val." sheetId="7" r:id="rId6"/>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3">'Machinery Schedule'!$A$1:$I$51</definedName>
    <definedName name="_xlnm.Print_Area" localSheetId="5">'Pro forma Coll. Val.'!$A$1:$N$77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4" i="1" l="1"/>
  <c r="J46" i="1" l="1"/>
  <c r="J17" i="5" l="1"/>
  <c r="J23" i="7" l="1"/>
  <c r="N23" i="7" s="1"/>
  <c r="J22" i="7"/>
  <c r="N22" i="7" s="1"/>
  <c r="J21" i="7"/>
  <c r="N21" i="7" s="1"/>
  <c r="J20" i="7"/>
  <c r="N20" i="7" s="1"/>
  <c r="E12" i="2" l="1"/>
  <c r="E13" i="2"/>
  <c r="E14" i="2"/>
  <c r="E15" i="2"/>
  <c r="E16" i="2"/>
  <c r="E17" i="2"/>
  <c r="E18" i="2"/>
  <c r="E11" i="2"/>
  <c r="J119" i="1" l="1"/>
  <c r="J84" i="1"/>
  <c r="D65" i="1" l="1"/>
  <c r="B5" i="3" l="1"/>
  <c r="F27" i="3" l="1"/>
  <c r="Q27" i="3"/>
  <c r="P27" i="3"/>
  <c r="O27" i="3"/>
  <c r="N27" i="3"/>
  <c r="M27" i="3"/>
  <c r="L27" i="3"/>
  <c r="K27" i="3"/>
  <c r="J27" i="3"/>
  <c r="I27" i="3"/>
  <c r="H27" i="3"/>
  <c r="G27" i="3"/>
  <c r="Q81" i="3"/>
  <c r="P81" i="3"/>
  <c r="O81" i="3"/>
  <c r="N81" i="3"/>
  <c r="M81" i="3"/>
  <c r="L81" i="3"/>
  <c r="K81" i="3"/>
  <c r="J81" i="3"/>
  <c r="I81" i="3"/>
  <c r="H81" i="3"/>
  <c r="G81" i="3"/>
  <c r="F81" i="3"/>
  <c r="R80" i="3"/>
  <c r="R79" i="3"/>
  <c r="R78" i="3"/>
  <c r="R77" i="3"/>
  <c r="Q58" i="3"/>
  <c r="P58" i="3"/>
  <c r="O58" i="3"/>
  <c r="N58" i="3"/>
  <c r="M58" i="3"/>
  <c r="L58" i="3"/>
  <c r="K58" i="3"/>
  <c r="J58" i="3"/>
  <c r="I58" i="3"/>
  <c r="H58" i="3"/>
  <c r="G58" i="3"/>
  <c r="F58" i="3"/>
  <c r="R73" i="3"/>
  <c r="R72" i="3"/>
  <c r="R71" i="3"/>
  <c r="R70" i="3"/>
  <c r="R69" i="3"/>
  <c r="R68" i="3"/>
  <c r="Q74" i="3"/>
  <c r="P74" i="3"/>
  <c r="O74" i="3"/>
  <c r="N74" i="3"/>
  <c r="M74" i="3"/>
  <c r="L74" i="3"/>
  <c r="K74" i="3"/>
  <c r="J74" i="3"/>
  <c r="I74" i="3"/>
  <c r="H74" i="3"/>
  <c r="G74" i="3"/>
  <c r="Q64" i="3"/>
  <c r="P64" i="3"/>
  <c r="O64" i="3"/>
  <c r="N64" i="3"/>
  <c r="M64" i="3"/>
  <c r="L64" i="3"/>
  <c r="K64" i="3"/>
  <c r="J64" i="3"/>
  <c r="I64" i="3"/>
  <c r="H64" i="3"/>
  <c r="G64" i="3"/>
  <c r="F64" i="3"/>
  <c r="F74" i="3"/>
  <c r="R63" i="3"/>
  <c r="R62" i="3"/>
  <c r="R61" i="3"/>
  <c r="R60" i="3"/>
  <c r="R59" i="3"/>
  <c r="R57" i="3"/>
  <c r="R56" i="3"/>
  <c r="R55" i="3"/>
  <c r="R54" i="3"/>
  <c r="R53" i="3"/>
  <c r="R52" i="3"/>
  <c r="R51" i="3"/>
  <c r="R50" i="3"/>
  <c r="R49" i="3"/>
  <c r="R48" i="3"/>
  <c r="R47" i="3"/>
  <c r="R46" i="3"/>
  <c r="R45" i="3"/>
  <c r="R44" i="3"/>
  <c r="R43" i="3"/>
  <c r="R42" i="3"/>
  <c r="R41" i="3"/>
  <c r="R40" i="3"/>
  <c r="R39" i="3"/>
  <c r="R38" i="3"/>
  <c r="R37" i="3"/>
  <c r="R36" i="3"/>
  <c r="R35" i="3"/>
  <c r="R34" i="3"/>
  <c r="R33" i="3"/>
  <c r="E27" i="3"/>
  <c r="R26" i="3"/>
  <c r="R25" i="3"/>
  <c r="R24" i="3"/>
  <c r="Q22" i="3"/>
  <c r="P22" i="3"/>
  <c r="O22" i="3"/>
  <c r="N22" i="3"/>
  <c r="M22" i="3"/>
  <c r="L22" i="3"/>
  <c r="K22" i="3"/>
  <c r="J22" i="3"/>
  <c r="I22" i="3"/>
  <c r="H22" i="3"/>
  <c r="G22" i="3"/>
  <c r="F22" i="3"/>
  <c r="R21" i="3"/>
  <c r="R20" i="3"/>
  <c r="R19" i="3"/>
  <c r="R18" i="3"/>
  <c r="R17" i="3"/>
  <c r="R16" i="3"/>
  <c r="R14" i="3"/>
  <c r="R13" i="3"/>
  <c r="R12" i="3"/>
  <c r="R11" i="3"/>
  <c r="R10" i="3"/>
  <c r="E21" i="3"/>
  <c r="E20" i="3"/>
  <c r="E19" i="3"/>
  <c r="E18" i="3"/>
  <c r="E17" i="3"/>
  <c r="E16" i="3"/>
  <c r="E14" i="3"/>
  <c r="E13" i="3"/>
  <c r="E12" i="3"/>
  <c r="E11" i="3"/>
  <c r="E10" i="3"/>
  <c r="H28" i="3" l="1"/>
  <c r="L28" i="3"/>
  <c r="R81" i="3"/>
  <c r="N28" i="3"/>
  <c r="N84" i="3" s="1"/>
  <c r="R27" i="3"/>
  <c r="H65" i="3"/>
  <c r="H75" i="3" s="1"/>
  <c r="H84" i="3" s="1"/>
  <c r="L65" i="3"/>
  <c r="L75" i="3" s="1"/>
  <c r="L82" i="3" s="1"/>
  <c r="P65" i="3"/>
  <c r="P75" i="3" s="1"/>
  <c r="P82" i="3" s="1"/>
  <c r="I28" i="3"/>
  <c r="M28" i="3"/>
  <c r="Q28" i="3"/>
  <c r="P28" i="3"/>
  <c r="P84" i="3" s="1"/>
  <c r="J28" i="3"/>
  <c r="G28" i="3"/>
  <c r="K28" i="3"/>
  <c r="O28" i="3"/>
  <c r="O84" i="3" s="1"/>
  <c r="Q65" i="3"/>
  <c r="Q75" i="3" s="1"/>
  <c r="M65" i="3"/>
  <c r="M75" i="3" s="1"/>
  <c r="M82" i="3" s="1"/>
  <c r="F65" i="3"/>
  <c r="F75" i="3" s="1"/>
  <c r="F82" i="3" s="1"/>
  <c r="J65" i="3"/>
  <c r="J75" i="3" s="1"/>
  <c r="J84" i="3" s="1"/>
  <c r="N65" i="3"/>
  <c r="N75" i="3" s="1"/>
  <c r="I65" i="3"/>
  <c r="I75" i="3" s="1"/>
  <c r="I82" i="3" s="1"/>
  <c r="G65" i="3"/>
  <c r="G75" i="3" s="1"/>
  <c r="G82" i="3" s="1"/>
  <c r="K65" i="3"/>
  <c r="K75" i="3" s="1"/>
  <c r="O65" i="3"/>
  <c r="O75" i="3" s="1"/>
  <c r="Q84" i="3"/>
  <c r="F28" i="3"/>
  <c r="L84" i="3"/>
  <c r="E22" i="3"/>
  <c r="E28" i="3" s="1"/>
  <c r="Q82" i="3"/>
  <c r="N82" i="3"/>
  <c r="O82" i="3"/>
  <c r="R64" i="3"/>
  <c r="R74" i="3"/>
  <c r="R22" i="3"/>
  <c r="R28" i="3" s="1"/>
  <c r="R58" i="3"/>
  <c r="I148" i="1"/>
  <c r="I147" i="1"/>
  <c r="I146" i="1"/>
  <c r="I145" i="1"/>
  <c r="I144" i="1"/>
  <c r="I143" i="1"/>
  <c r="J138" i="1"/>
  <c r="D63" i="1" s="1"/>
  <c r="D62" i="1"/>
  <c r="F104" i="1"/>
  <c r="F103" i="1"/>
  <c r="F102" i="1"/>
  <c r="F101" i="1"/>
  <c r="F100" i="1"/>
  <c r="F99" i="1"/>
  <c r="F98" i="1"/>
  <c r="J93" i="1"/>
  <c r="F93" i="1"/>
  <c r="C84" i="1"/>
  <c r="I61" i="1"/>
  <c r="J45" i="1"/>
  <c r="H82" i="3" l="1"/>
  <c r="K84" i="3"/>
  <c r="I84" i="3"/>
  <c r="F84" i="3"/>
  <c r="I149" i="1"/>
  <c r="J82" i="3"/>
  <c r="M84" i="3"/>
  <c r="G84" i="3"/>
  <c r="K82" i="3"/>
  <c r="R75" i="3"/>
  <c r="R82" i="3" s="1"/>
  <c r="R85" i="3" s="1"/>
  <c r="R65" i="3"/>
  <c r="F105" i="1"/>
  <c r="D66" i="1" s="1"/>
  <c r="D58" i="1"/>
  <c r="D57" i="1"/>
  <c r="D56" i="1"/>
  <c r="D55" i="1"/>
  <c r="D54" i="1"/>
  <c r="D51" i="1"/>
  <c r="D50" i="1"/>
  <c r="D49" i="1"/>
  <c r="D48" i="1"/>
  <c r="D47" i="1"/>
  <c r="D46" i="1"/>
  <c r="D45" i="1"/>
  <c r="D44" i="1"/>
  <c r="D30" i="1"/>
  <c r="D29" i="1"/>
  <c r="D28" i="1"/>
  <c r="D27" i="1"/>
  <c r="D26" i="1"/>
  <c r="D25" i="1"/>
  <c r="J36" i="7"/>
  <c r="N36" i="7" s="1"/>
  <c r="J35" i="7"/>
  <c r="N35" i="7" s="1"/>
  <c r="J34" i="7"/>
  <c r="N34" i="7" s="1"/>
  <c r="N33" i="7"/>
  <c r="N59" i="7"/>
  <c r="J72" i="7" s="1"/>
  <c r="N56" i="7"/>
  <c r="J55" i="7"/>
  <c r="J57" i="7" s="1"/>
  <c r="N54" i="7"/>
  <c r="N53" i="7"/>
  <c r="N48" i="7"/>
  <c r="J47" i="7"/>
  <c r="J49" i="7" s="1"/>
  <c r="N46" i="7"/>
  <c r="N45" i="7"/>
  <c r="N44" i="7"/>
  <c r="J32" i="7"/>
  <c r="N32" i="7" s="1"/>
  <c r="J31" i="7"/>
  <c r="N31" i="7" s="1"/>
  <c r="J30" i="7"/>
  <c r="N30" i="7" s="1"/>
  <c r="J25" i="7"/>
  <c r="N25" i="7" s="1"/>
  <c r="J24" i="7"/>
  <c r="N24" i="7" s="1"/>
  <c r="J19" i="7"/>
  <c r="N19" i="7" s="1"/>
  <c r="J18" i="7"/>
  <c r="N18" i="7" s="1"/>
  <c r="J16" i="7"/>
  <c r="N16" i="7" s="1"/>
  <c r="J15" i="7"/>
  <c r="N15" i="7" s="1"/>
  <c r="J14" i="7"/>
  <c r="N14" i="7" s="1"/>
  <c r="N11" i="7"/>
  <c r="N9" i="7"/>
  <c r="J71" i="7" s="1"/>
  <c r="N55" i="7" l="1"/>
  <c r="N57" i="7" s="1"/>
  <c r="J70" i="7" s="1"/>
  <c r="L70" i="7" s="1"/>
  <c r="N70" i="7" s="1"/>
  <c r="N47" i="7"/>
  <c r="N49" i="7" s="1"/>
  <c r="J69" i="7" s="1"/>
  <c r="L69" i="7" s="1"/>
  <c r="N69" i="7" s="1"/>
  <c r="J37" i="7"/>
  <c r="L71" i="7"/>
  <c r="N71" i="7" s="1"/>
  <c r="N27" i="7"/>
  <c r="N37" i="7"/>
  <c r="J68" i="7" s="1"/>
  <c r="L72" i="7"/>
  <c r="N72" i="7" s="1"/>
  <c r="J27" i="7"/>
  <c r="N60" i="5"/>
  <c r="J73" i="5" s="1"/>
  <c r="N57" i="5"/>
  <c r="J56" i="5"/>
  <c r="J58" i="5" s="1"/>
  <c r="N55" i="5"/>
  <c r="N54" i="5"/>
  <c r="N49" i="5"/>
  <c r="N47" i="5"/>
  <c r="N46" i="5"/>
  <c r="N45" i="5"/>
  <c r="J48" i="5"/>
  <c r="J50" i="5" s="1"/>
  <c r="N22" i="5"/>
  <c r="N11" i="5"/>
  <c r="N9" i="5"/>
  <c r="J72" i="5" s="1"/>
  <c r="J37" i="5"/>
  <c r="N37" i="5" s="1"/>
  <c r="J36" i="5"/>
  <c r="N36" i="5" s="1"/>
  <c r="J35" i="5"/>
  <c r="N35" i="5" s="1"/>
  <c r="J34" i="5"/>
  <c r="N34" i="5" s="1"/>
  <c r="J33" i="5"/>
  <c r="N33" i="5" s="1"/>
  <c r="J32" i="5"/>
  <c r="N32" i="5" s="1"/>
  <c r="J31" i="5"/>
  <c r="N31" i="5" s="1"/>
  <c r="J30" i="5"/>
  <c r="N30" i="5" s="1"/>
  <c r="J29" i="5"/>
  <c r="N29" i="5" s="1"/>
  <c r="J28" i="5"/>
  <c r="N28" i="5" s="1"/>
  <c r="J23" i="5"/>
  <c r="N23" i="5" s="1"/>
  <c r="J22" i="5"/>
  <c r="J21" i="5"/>
  <c r="N21" i="5" s="1"/>
  <c r="J20" i="5"/>
  <c r="N20" i="5" s="1"/>
  <c r="J18" i="5"/>
  <c r="N18" i="5" s="1"/>
  <c r="N17" i="5"/>
  <c r="J16" i="5"/>
  <c r="N16" i="5" s="1"/>
  <c r="J15" i="5"/>
  <c r="N15" i="5" s="1"/>
  <c r="J14" i="5"/>
  <c r="I44" i="4"/>
  <c r="H44" i="4"/>
  <c r="G44" i="4"/>
  <c r="N48" i="5" l="1"/>
  <c r="N56" i="5"/>
  <c r="N58" i="5" s="1"/>
  <c r="J71" i="5" s="1"/>
  <c r="J39" i="7"/>
  <c r="L72" i="5"/>
  <c r="N72" i="5" s="1"/>
  <c r="L73" i="5"/>
  <c r="N73" i="5" s="1"/>
  <c r="L71" i="5"/>
  <c r="N71" i="5" s="1"/>
  <c r="N50" i="5"/>
  <c r="J70" i="5" s="1"/>
  <c r="L70" i="5" s="1"/>
  <c r="N70" i="5" s="1"/>
  <c r="J25" i="5"/>
  <c r="L68" i="7"/>
  <c r="N68" i="7" s="1"/>
  <c r="J67" i="7"/>
  <c r="N39" i="7"/>
  <c r="N38" i="5"/>
  <c r="J69" i="5" s="1"/>
  <c r="J38" i="5"/>
  <c r="N14" i="5"/>
  <c r="N25" i="5" s="1"/>
  <c r="D22" i="1"/>
  <c r="D21" i="1"/>
  <c r="D20" i="1"/>
  <c r="D19" i="1"/>
  <c r="D18" i="1"/>
  <c r="E48" i="2"/>
  <c r="I57" i="2"/>
  <c r="I39" i="2"/>
  <c r="H32" i="2"/>
  <c r="E34" i="2"/>
  <c r="E33" i="2"/>
  <c r="E32" i="2"/>
  <c r="E31" i="2"/>
  <c r="E30" i="2"/>
  <c r="E29" i="2"/>
  <c r="E28" i="2"/>
  <c r="E27" i="2"/>
  <c r="E26" i="2"/>
  <c r="E25" i="2"/>
  <c r="E24" i="2"/>
  <c r="E23" i="2"/>
  <c r="E19" i="2"/>
  <c r="I41" i="2" l="1"/>
  <c r="I58" i="2" s="1"/>
  <c r="E55" i="2" s="1"/>
  <c r="J40" i="5"/>
  <c r="D39" i="1"/>
  <c r="L67" i="7"/>
  <c r="N67" i="7" s="1"/>
  <c r="N74" i="7" s="1"/>
  <c r="L69" i="5"/>
  <c r="N69" i="5" s="1"/>
  <c r="J68" i="5"/>
  <c r="N40" i="5"/>
  <c r="E35" i="2"/>
  <c r="E49" i="2" s="1"/>
  <c r="E58" i="2" l="1"/>
  <c r="D68" i="1"/>
  <c r="I65" i="1" s="1"/>
  <c r="I63" i="1"/>
  <c r="N77" i="7"/>
  <c r="N76" i="7"/>
  <c r="L68" i="5"/>
  <c r="N68" i="5" s="1"/>
  <c r="N75" i="5" s="1"/>
  <c r="N78" i="5" l="1"/>
  <c r="N77" i="5"/>
</calcChain>
</file>

<file path=xl/sharedStrings.xml><?xml version="1.0" encoding="utf-8"?>
<sst xmlns="http://schemas.openxmlformats.org/spreadsheetml/2006/main" count="508" uniqueCount="281">
  <si>
    <t>Name:</t>
  </si>
  <si>
    <t>As of Date:</t>
  </si>
  <si>
    <t>ASSETS</t>
  </si>
  <si>
    <t>AMOUNT</t>
  </si>
  <si>
    <t>LIABILITIES</t>
  </si>
  <si>
    <t>Current Receivables (Collectible within 1 year):</t>
  </si>
  <si>
    <t>(If Above are secured, List type of Security)</t>
  </si>
  <si>
    <t>Number</t>
  </si>
  <si>
    <t>KInd</t>
  </si>
  <si>
    <t>Value</t>
  </si>
  <si>
    <t/>
  </si>
  <si>
    <t>Farm Products on Hand or in Storage:</t>
  </si>
  <si>
    <t>Quantity</t>
  </si>
  <si>
    <t>Kind</t>
  </si>
  <si>
    <t>Year</t>
  </si>
  <si>
    <t>Supplies on Hand:</t>
  </si>
  <si>
    <t>Other Current Assets (Itemize):</t>
  </si>
  <si>
    <t>REAL ESTATE:</t>
  </si>
  <si>
    <t>Real Estate Mortgages &amp; Contracts:</t>
  </si>
  <si>
    <t>Lien Holder</t>
  </si>
  <si>
    <t>Terms</t>
  </si>
  <si>
    <t>Real Estate Sale Contracts Receivable:</t>
  </si>
  <si>
    <t>Other Liabilities (Itemize):</t>
  </si>
  <si>
    <t>.......TOTAL LIABILITIES........</t>
  </si>
  <si>
    <t>..............TOTAL ASSETS......................</t>
  </si>
  <si>
    <t>For the purpose of obtaining credit from time to time with the Bank, the following statement and information are furnished as complete, true, and accurate statement of the financial condition of the undersigned on the below date.  All amounts are rounded to the nearest $100.00</t>
  </si>
  <si>
    <t>Date</t>
  </si>
  <si>
    <t>BALANCE SHEET  –  SUPPLEMENT</t>
  </si>
  <si>
    <t>REAL ESTATE - SCHEDULE</t>
  </si>
  <si>
    <t>Tract</t>
  </si>
  <si>
    <t>TOTALS</t>
  </si>
  <si>
    <t>REAL ESTATE LIENS  –  SCHEDULE</t>
  </si>
  <si>
    <t>Mtg/Cont</t>
  </si>
  <si>
    <t>Amount</t>
  </si>
  <si>
    <t>Pmt, Dates</t>
  </si>
  <si>
    <t>Princ</t>
  </si>
  <si>
    <t>Int.</t>
  </si>
  <si>
    <t>Tot. Payment</t>
  </si>
  <si>
    <t>LIVESTOCK  –  SCHEDULE</t>
  </si>
  <si>
    <t>Total Value</t>
  </si>
  <si>
    <t>Total</t>
  </si>
  <si>
    <t>TITLED VEHICLES  –  SCHEDULE    APPRAISAL</t>
  </si>
  <si>
    <t>Make</t>
  </si>
  <si>
    <t>Size</t>
  </si>
  <si>
    <t>Model</t>
  </si>
  <si>
    <t>Condition</t>
  </si>
  <si>
    <t>TOTAL</t>
  </si>
  <si>
    <t>FARM MACHINERY AND EQUIPMENT - SCHEDULE      APPRAISAL</t>
  </si>
  <si>
    <t>FARM PRODUCTS ON HAND OR IN STORAGE  –  SCHEDULE</t>
  </si>
  <si>
    <t>Crops on Hand</t>
  </si>
  <si>
    <t>Size: (tons, lbs. bushels,etc)</t>
  </si>
  <si>
    <t>Value/Qty</t>
  </si>
  <si>
    <t>Date:</t>
  </si>
  <si>
    <t>Variety</t>
  </si>
  <si>
    <t>Acres</t>
  </si>
  <si>
    <t>Yld/Acre</t>
  </si>
  <si>
    <t>Price</t>
  </si>
  <si>
    <t>Repairs</t>
  </si>
  <si>
    <t>Feed</t>
  </si>
  <si>
    <t>Seed</t>
  </si>
  <si>
    <t>Fertilizer</t>
  </si>
  <si>
    <t>Chemical</t>
  </si>
  <si>
    <t xml:space="preserve">Custom hire  </t>
  </si>
  <si>
    <t>Vet &amp; Medical</t>
  </si>
  <si>
    <t>Fuel - oil-gas</t>
  </si>
  <si>
    <t xml:space="preserve">Tax  RE/Per                </t>
  </si>
  <si>
    <t>Machine Rental</t>
  </si>
  <si>
    <t xml:space="preserve">Rent - Lease </t>
  </si>
  <si>
    <t>Type</t>
  </si>
  <si>
    <t>Lbs</t>
  </si>
  <si>
    <t>$/Lbs</t>
  </si>
  <si>
    <t>Insurance</t>
  </si>
  <si>
    <t>Labor</t>
  </si>
  <si>
    <t>Misc. expense</t>
  </si>
  <si>
    <t xml:space="preserve">Capital purchase  </t>
  </si>
  <si>
    <t>Accounting</t>
  </si>
  <si>
    <t xml:space="preserve">Irrigation expense            </t>
  </si>
  <si>
    <t>Vehicle expense</t>
  </si>
  <si>
    <t>Supplies</t>
  </si>
  <si>
    <t xml:space="preserve">Living </t>
  </si>
  <si>
    <t>Total Farm Expense</t>
  </si>
  <si>
    <t>INTEREST EXPENSE:</t>
  </si>
  <si>
    <t>TOTAL LIVESTOCK</t>
  </si>
  <si>
    <t>TOTAL INTEREST EXPENSE</t>
  </si>
  <si>
    <t>TOTAL OPERATING EXPENSE</t>
  </si>
  <si>
    <t>DEBT SERVICE:</t>
  </si>
  <si>
    <t>TOTAL MISCELLANEOUS</t>
  </si>
  <si>
    <t xml:space="preserve">        REAL-ESTATE:</t>
  </si>
  <si>
    <t>TOTAL INCOME</t>
  </si>
  <si>
    <t xml:space="preserve">       CHATTEL:</t>
  </si>
  <si>
    <t>LESS : TOTAL EXPENSES</t>
  </si>
  <si>
    <t>TOTAL DEBT SERVICE</t>
  </si>
  <si>
    <t>MARGIN</t>
  </si>
  <si>
    <t>TOTAL EXPENSE</t>
  </si>
  <si>
    <t>Signed</t>
  </si>
  <si>
    <t>BUDGET OF INCOME AND EXPENSE</t>
  </si>
  <si>
    <t>ESTIMATED INCOME PLEDGED FOR REPAYMENT</t>
  </si>
  <si>
    <t>NAME</t>
  </si>
  <si>
    <t>MONTH</t>
  </si>
  <si>
    <t xml:space="preserve"> </t>
  </si>
  <si>
    <t>1. SUB TOTAL</t>
  </si>
  <si>
    <t xml:space="preserve">  </t>
  </si>
  <si>
    <t>2. SUB TOTAL</t>
  </si>
  <si>
    <t>ESTIMATED OPERATING EXPENSES TO BE BORROWED</t>
  </si>
  <si>
    <t>Work Comp/payroll</t>
  </si>
  <si>
    <t>Chemicals</t>
  </si>
  <si>
    <t>Custom Hire</t>
  </si>
  <si>
    <t>Rent - Lease</t>
  </si>
  <si>
    <t>Water</t>
  </si>
  <si>
    <t>Interest - Other</t>
  </si>
  <si>
    <t xml:space="preserve">4. SUB TOTAL </t>
  </si>
  <si>
    <t>Living</t>
  </si>
  <si>
    <t>5. SUB TOTAL</t>
  </si>
  <si>
    <t>7. SUB TOTAL</t>
  </si>
  <si>
    <t>ITEMS TO BE PAID BY MEMBER - (NOT INCLUDED IN COMMITMENT)</t>
  </si>
  <si>
    <t>9. SUB TOTAL</t>
  </si>
  <si>
    <t>Out. Bal. (Month End)</t>
  </si>
  <si>
    <t>COMMENTS:</t>
  </si>
  <si>
    <t>Signature</t>
  </si>
  <si>
    <t xml:space="preserve">Borrower:    </t>
  </si>
  <si>
    <t>Combine(s)</t>
  </si>
  <si>
    <t xml:space="preserve">Drill(s) </t>
  </si>
  <si>
    <t xml:space="preserve">Plow(s) </t>
  </si>
  <si>
    <t>It is mutually understood and agreed that this Machinery and Equipment Schedule is attached to and made a</t>
  </si>
  <si>
    <t>Signed:</t>
  </si>
  <si>
    <t>Book or</t>
  </si>
  <si>
    <t>Realization</t>
  </si>
  <si>
    <t>Net</t>
  </si>
  <si>
    <t>Valuation</t>
  </si>
  <si>
    <t>Percentage</t>
  </si>
  <si>
    <t xml:space="preserve"> $</t>
  </si>
  <si>
    <t xml:space="preserve"> %</t>
  </si>
  <si>
    <t>Certificate of Deposit</t>
  </si>
  <si>
    <t>Government Payments</t>
  </si>
  <si>
    <t>Crops</t>
  </si>
  <si>
    <t>Description</t>
  </si>
  <si>
    <t>Yield</t>
  </si>
  <si>
    <t>Harvested</t>
  </si>
  <si>
    <t>Unharvested</t>
  </si>
  <si>
    <t>CROP SUBTOTAL</t>
  </si>
  <si>
    <t>Livestock</t>
  </si>
  <si>
    <t>Weight</t>
  </si>
  <si>
    <t>LIVESTOCK SUBTOTAL</t>
  </si>
  <si>
    <t>TOTAL GRAIN AND LIVESTOCK</t>
  </si>
  <si>
    <t>Equipment - F/S Value or Appraised Value*  (circle one)</t>
  </si>
  <si>
    <t xml:space="preserve">  Appraised Value*</t>
  </si>
  <si>
    <t xml:space="preserve">     Farm Equipment</t>
  </si>
  <si>
    <t xml:space="preserve">     Rolling Stock (titled vehicles)</t>
  </si>
  <si>
    <t xml:space="preserve">     Other Equipment</t>
  </si>
  <si>
    <t>Less: Superior Encumbrances</t>
  </si>
  <si>
    <t>NET VALUE</t>
  </si>
  <si>
    <t>Real Estate - Appraised Value**</t>
  </si>
  <si>
    <t>Land and Buildings</t>
  </si>
  <si>
    <t xml:space="preserve">     Buildings</t>
  </si>
  <si>
    <t xml:space="preserve">Less: Superior Encumbrances </t>
  </si>
  <si>
    <t xml:space="preserve">Other Collateral </t>
  </si>
  <si>
    <t>% to</t>
  </si>
  <si>
    <t>Cost to</t>
  </si>
  <si>
    <t>Net Realizable</t>
  </si>
  <si>
    <t>Recap</t>
  </si>
  <si>
    <t>Liq.</t>
  </si>
  <si>
    <t>Liquidate</t>
  </si>
  <si>
    <t xml:space="preserve">     Crops</t>
  </si>
  <si>
    <t xml:space="preserve">     Livestock</t>
  </si>
  <si>
    <t xml:space="preserve">     Equipment</t>
  </si>
  <si>
    <t xml:space="preserve">     Real Estate</t>
  </si>
  <si>
    <t xml:space="preserve">     Other</t>
  </si>
  <si>
    <t>Net (Loss) or Collateral Cushion</t>
  </si>
  <si>
    <t>First Bank of Montana</t>
  </si>
  <si>
    <t>Balance Sheet prepared for:</t>
  </si>
  <si>
    <t>Cash on Hand and in Bank:</t>
  </si>
  <si>
    <t>Federal Payments Due and Receivable:</t>
  </si>
  <si>
    <t>Livestock on Hand (to be marketed):</t>
  </si>
  <si>
    <t>TOTAL CURRENT ASSETS:</t>
  </si>
  <si>
    <t>Breeding Stock</t>
  </si>
  <si>
    <t>Titled Vehicles:</t>
  </si>
  <si>
    <t>Machinery and Equipment:</t>
  </si>
  <si>
    <t>….. INTERMEDIATE &amp; LONG TERM ASSETS…..</t>
  </si>
  <si>
    <t>Due Date</t>
  </si>
  <si>
    <t>PMT.</t>
  </si>
  <si>
    <t>Operating &amp; Unsecured Notes:</t>
  </si>
  <si>
    <t>Accounts Due:</t>
  </si>
  <si>
    <t>Current Portion of Real Estate Mortgages:</t>
  </si>
  <si>
    <t>Creditor</t>
  </si>
  <si>
    <t>Pmt. Amount</t>
  </si>
  <si>
    <t>Intermediate Term and Installment Debt:</t>
  </si>
  <si>
    <t xml:space="preserve">  Principal due beyond 12 months</t>
  </si>
  <si>
    <t>Principal</t>
  </si>
  <si>
    <t>State and Fed. Income Taxes Due:</t>
  </si>
  <si>
    <t>Other Current Liabilities (Itemize):</t>
  </si>
  <si>
    <t>TOTAL CURRENT LIABILITIES:</t>
  </si>
  <si>
    <t>Signature:  ____________________________________________________</t>
  </si>
  <si>
    <t>Date:  _____________________________________________</t>
  </si>
  <si>
    <t>Signature:  _________________________________________________________</t>
  </si>
  <si>
    <t>Date:  ______________________________________</t>
  </si>
  <si>
    <t>Kind &amp; Weight</t>
  </si>
  <si>
    <t>Title in the name of:</t>
  </si>
  <si>
    <t>$ Per Hd</t>
  </si>
  <si>
    <t>Production Year:</t>
  </si>
  <si>
    <t>PROJECTED FARM EXPENSE:</t>
  </si>
  <si>
    <t>Electricty  –  Phone</t>
  </si>
  <si>
    <t>Ann.  Pmt.</t>
  </si>
  <si>
    <t>FIRST BANK OF MONTANA</t>
  </si>
  <si>
    <t>Address:</t>
  </si>
  <si>
    <t>OTHER ITEMS TO BE BORROWED - (DEBTS AND CAPITAL PURCHASES)</t>
  </si>
  <si>
    <t>Interest - RE</t>
  </si>
  <si>
    <t>Fuel and Oil</t>
  </si>
  <si>
    <t>Vet and Med.</t>
  </si>
  <si>
    <t>Breeding Fees</t>
  </si>
  <si>
    <t>Utilities</t>
  </si>
  <si>
    <t>R/E Taxes</t>
  </si>
  <si>
    <t>Casualty Ins.</t>
  </si>
  <si>
    <t>Miscellaneous</t>
  </si>
  <si>
    <t>No.</t>
  </si>
  <si>
    <t>Wgt.</t>
  </si>
  <si>
    <t>INCOME ITEM</t>
  </si>
  <si>
    <t xml:space="preserve">   LOAN PERIOD</t>
  </si>
  <si>
    <t>6. Total Operating Expense (4+5)</t>
  </si>
  <si>
    <t>3. Total Income (1.+2.)</t>
  </si>
  <si>
    <t>8. TOTAL ADVANCE (6+7)</t>
  </si>
  <si>
    <t>10. TOTAL EXPENDITURES (8.+9.)</t>
  </si>
  <si>
    <t>INCOME:</t>
  </si>
  <si>
    <t xml:space="preserve">   CROPS</t>
  </si>
  <si>
    <t xml:space="preserve">   LIVESTOCK</t>
  </si>
  <si>
    <t xml:space="preserve">   MISCELLANEOUS</t>
  </si>
  <si>
    <t>ANNUAL AGRI-BUSINESS CASH FLOW/BUDGET</t>
  </si>
  <si>
    <t>MACHINERY &amp; EQUIPMENT SCHEDULE</t>
  </si>
  <si>
    <t>Cultivator(s)</t>
  </si>
  <si>
    <t>Sprayer(s)</t>
  </si>
  <si>
    <t>Grain Vac(s)</t>
  </si>
  <si>
    <t>Baler(s)</t>
  </si>
  <si>
    <t>Swather(s)</t>
  </si>
  <si>
    <t>Grain Cart(s)</t>
  </si>
  <si>
    <t xml:space="preserve">Tractor(s)  </t>
  </si>
  <si>
    <t>Harrow(s)</t>
  </si>
  <si>
    <t>Disc(s)</t>
  </si>
  <si>
    <t>Total:</t>
  </si>
  <si>
    <t>part of the above named individual or entity's current Financial Statement.</t>
  </si>
  <si>
    <t>AGRICULTURAL COLLATERAL VALUATION - CURRENT</t>
  </si>
  <si>
    <t xml:space="preserve">  Borrower:</t>
  </si>
  <si>
    <t xml:space="preserve">    Date Completed:</t>
  </si>
  <si>
    <t xml:space="preserve">   Officer:</t>
  </si>
  <si>
    <t xml:space="preserve">     Cash</t>
  </si>
  <si>
    <t>Collateral Coverage Percentage</t>
  </si>
  <si>
    <t>Total Net Liquidation Proceeds</t>
  </si>
  <si>
    <t xml:space="preserve">     Less Gross Loan Balance  (current OTL)</t>
  </si>
  <si>
    <t>AGRICULTURAL COLLATERAL VALUATION - pro forma</t>
  </si>
  <si>
    <t>Head</t>
  </si>
  <si>
    <t>Value for Year:</t>
  </si>
  <si>
    <t>Cash Investment  -  Crops</t>
  </si>
  <si>
    <t xml:space="preserve">Creditor </t>
  </si>
  <si>
    <t>Security</t>
  </si>
  <si>
    <t>Balance</t>
  </si>
  <si>
    <t>TOTAL INTERMEDIATE &amp; CURRENT LIABILITIES:</t>
  </si>
  <si>
    <t>Annual</t>
  </si>
  <si>
    <t>……..WORKING CAPITAL…….</t>
  </si>
  <si>
    <t>………..NET WORTH……….</t>
  </si>
  <si>
    <t>Crop</t>
  </si>
  <si>
    <t xml:space="preserve">                                 ESTIMATED UNPLEDGED INCOME</t>
  </si>
  <si>
    <t>Nov.</t>
  </si>
  <si>
    <t>Dec.</t>
  </si>
  <si>
    <t>Jan.</t>
  </si>
  <si>
    <t>Feb.</t>
  </si>
  <si>
    <t>Mar.</t>
  </si>
  <si>
    <t>Apr.</t>
  </si>
  <si>
    <t>May</t>
  </si>
  <si>
    <t>June</t>
  </si>
  <si>
    <t>July</t>
  </si>
  <si>
    <t>Aug.</t>
  </si>
  <si>
    <t>Sept.</t>
  </si>
  <si>
    <t>Oct.</t>
  </si>
  <si>
    <t xml:space="preserve">Term &amp; RE Principal </t>
  </si>
  <si>
    <t>Real Estate - Supplement</t>
  </si>
  <si>
    <t>Livestock - Supplement</t>
  </si>
  <si>
    <t>MLWalstad</t>
  </si>
  <si>
    <t>Make &amp; Model</t>
  </si>
  <si>
    <t>VIN</t>
  </si>
  <si>
    <t>Serial #</t>
  </si>
  <si>
    <t>TOTAL CROP</t>
  </si>
  <si>
    <t>2021.08.20</t>
  </si>
  <si>
    <t>Other Assets (Itemize):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</si>
</sst>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7" formatCode="&quot;$&quot;#,##0.00_);\(&quot;$&quot;#,##0.00\)"/>
    <numFmt numFmtId="164" formatCode="\$#,##0_);&quot;($&quot;#,##0\)"/>
    <numFmt numFmtId="165" formatCode="&quot;$&quot;#,##0.00"/>
    <numFmt numFmtId="166" formatCode="&quot;$&quot;#,##0"/>
  </numFmts>
  <fonts count="74" x14ac:knownFonts="1">
    <font>
      <sz val="11"/>
      <color theme="1"/>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b/>
      <sz val="11"/>
      <color indexed="63"/>
      <name val="Calibri"/>
      <family val="2"/>
    </font>
    <font>
      <b/>
      <sz val="18"/>
      <color indexed="62"/>
      <name val="Cambria"/>
      <family val="2"/>
    </font>
    <font>
      <sz val="12"/>
      <color indexed="12"/>
      <name val="Arial"/>
      <family val="2"/>
    </font>
    <font>
      <b/>
      <sz val="10"/>
      <color indexed="12"/>
      <name val="Arial"/>
      <family val="2"/>
    </font>
    <font>
      <b/>
      <sz val="10"/>
      <name val="Arial"/>
      <family val="2"/>
    </font>
    <font>
      <sz val="12"/>
      <name val="Arial"/>
      <family val="2"/>
    </font>
    <font>
      <sz val="10"/>
      <color indexed="12"/>
      <name val="Arial"/>
      <family val="2"/>
    </font>
    <font>
      <u/>
      <sz val="10"/>
      <name val="Arial"/>
      <family val="2"/>
    </font>
    <font>
      <sz val="10"/>
      <color indexed="16"/>
      <name val="Arial"/>
      <family val="2"/>
    </font>
    <font>
      <b/>
      <sz val="12"/>
      <name val="Arial"/>
      <family val="2"/>
    </font>
    <font>
      <sz val="12"/>
      <color indexed="16"/>
      <name val="Arial"/>
      <family val="2"/>
    </font>
    <font>
      <b/>
      <sz val="14"/>
      <name val="Arial"/>
      <family val="2"/>
    </font>
    <font>
      <b/>
      <sz val="12"/>
      <color indexed="12"/>
      <name val="Arial"/>
      <family val="2"/>
    </font>
    <font>
      <b/>
      <u/>
      <sz val="12"/>
      <name val="Arial"/>
      <family val="2"/>
    </font>
    <font>
      <b/>
      <sz val="12"/>
      <color indexed="16"/>
      <name val="Arial"/>
      <family val="2"/>
    </font>
    <font>
      <sz val="8"/>
      <name val="Arial"/>
      <family val="2"/>
    </font>
    <font>
      <sz val="11"/>
      <name val="Arial"/>
      <family val="2"/>
    </font>
    <font>
      <b/>
      <sz val="11"/>
      <name val="Arial"/>
      <family val="2"/>
    </font>
    <font>
      <sz val="10"/>
      <name val="Courier"/>
    </font>
    <font>
      <b/>
      <sz val="11"/>
      <color theme="1"/>
      <name val="Arial"/>
      <family val="2"/>
    </font>
    <font>
      <sz val="9"/>
      <name val="Arial"/>
      <family val="2"/>
    </font>
    <font>
      <sz val="11"/>
      <color theme="1"/>
      <name val="Arial"/>
      <family val="2"/>
    </font>
    <font>
      <u/>
      <sz val="11"/>
      <color theme="1"/>
      <name val="Arial"/>
      <family val="2"/>
    </font>
    <font>
      <u/>
      <sz val="10"/>
      <color theme="1"/>
      <name val="Arial"/>
      <family val="2"/>
    </font>
    <font>
      <b/>
      <sz val="12"/>
      <color rgb="FF0000FF"/>
      <name val="Arial"/>
      <family val="2"/>
    </font>
    <font>
      <b/>
      <u/>
      <sz val="22"/>
      <color theme="1"/>
      <name val="Times New Roman"/>
      <family val="1"/>
    </font>
    <font>
      <b/>
      <u/>
      <sz val="24"/>
      <color theme="1"/>
      <name val="Times New Roman"/>
      <family val="1"/>
    </font>
    <font>
      <sz val="14"/>
      <name val="Arial"/>
      <family val="2"/>
    </font>
    <font>
      <sz val="11"/>
      <color indexed="12"/>
      <name val="Arial"/>
      <family val="2"/>
    </font>
    <font>
      <u/>
      <sz val="11"/>
      <name val="Arial"/>
      <family val="2"/>
    </font>
    <font>
      <b/>
      <sz val="10"/>
      <color theme="1"/>
      <name val="Arial"/>
      <family val="2"/>
    </font>
    <font>
      <sz val="11"/>
      <color theme="1"/>
      <name val="Calibri"/>
      <family val="2"/>
      <scheme val="minor"/>
    </font>
    <font>
      <b/>
      <sz val="11"/>
      <color indexed="16"/>
      <name val="Arial"/>
      <family val="2"/>
    </font>
    <font>
      <b/>
      <sz val="11"/>
      <color indexed="12"/>
      <name val="Arial"/>
      <family val="2"/>
    </font>
    <font>
      <sz val="11"/>
      <color rgb="FF0000FF"/>
      <name val="Arial"/>
      <family val="2"/>
    </font>
    <font>
      <b/>
      <sz val="11"/>
      <color rgb="FF0000FF"/>
      <name val="Arial"/>
      <family val="2"/>
    </font>
    <font>
      <b/>
      <sz val="11"/>
      <color rgb="FFA50021"/>
      <name val="Arial"/>
      <family val="2"/>
    </font>
    <font>
      <b/>
      <sz val="9"/>
      <color indexed="12"/>
      <name val="Arial"/>
      <family val="2"/>
    </font>
    <font>
      <b/>
      <sz val="9"/>
      <name val="Arial"/>
      <family val="2"/>
    </font>
    <font>
      <sz val="11"/>
      <color rgb="FF0000FF"/>
      <name val="Calibri"/>
      <family val="2"/>
      <scheme val="minor"/>
    </font>
    <font>
      <sz val="10"/>
      <color rgb="FF0000FF"/>
      <name val="Arial"/>
      <family val="2"/>
    </font>
    <font>
      <b/>
      <sz val="12"/>
      <color rgb="FF008000"/>
      <name val="Arial"/>
      <family val="2"/>
    </font>
    <font>
      <sz val="11"/>
      <color rgb="FF008000"/>
      <name val="Arial"/>
      <family val="2"/>
    </font>
    <font>
      <b/>
      <sz val="11"/>
      <color rgb="FF008000"/>
      <name val="Arial"/>
      <family val="2"/>
    </font>
    <font>
      <sz val="10"/>
      <color rgb="FF008000"/>
      <name val="Arial"/>
      <family val="2"/>
    </font>
    <font>
      <sz val="12"/>
      <color rgb="FF008000"/>
      <name val="Arial"/>
      <family val="2"/>
    </font>
    <font>
      <sz val="11"/>
      <color rgb="FF008000"/>
      <name val="Calibri"/>
      <family val="2"/>
      <scheme val="minor"/>
    </font>
    <font>
      <b/>
      <sz val="10"/>
      <color rgb="FF008000"/>
      <name val="Arial"/>
      <family val="2"/>
    </font>
    <font>
      <sz val="9"/>
      <color indexed="12"/>
      <name val="Arial"/>
      <family val="2"/>
    </font>
    <font>
      <sz val="9"/>
      <color rgb="FF0000FF"/>
      <name val="Arial"/>
      <family val="2"/>
    </font>
    <font>
      <sz val="9"/>
      <color rgb="FF008000"/>
      <name val="Arial"/>
      <family val="2"/>
    </font>
    <font>
      <b/>
      <sz val="9"/>
      <color rgb="FF008000"/>
      <name val="Arial"/>
      <family val="2"/>
    </font>
    <font>
      <b/>
      <sz val="11"/>
      <color theme="1"/>
      <name val="Calibri"/>
      <family val="2"/>
      <scheme val="minor"/>
    </font>
    <font>
      <sz val="10"/>
      <color theme="1"/>
      <name val="Arial"/>
      <family val="2"/>
    </font>
    <font>
      <sz val="10"/>
      <color theme="1"/>
      <name val="Calibri"/>
      <family val="2"/>
      <scheme val="minor"/>
    </font>
    <font>
      <sz val="14"/>
      <color theme="1"/>
      <name val="Arial"/>
      <family val="2"/>
    </font>
    <font>
      <sz val="12"/>
      <color rgb="FF0000FF"/>
      <name val="Arial"/>
      <family val="2"/>
    </font>
    <font>
      <sz val="12"/>
      <color theme="1"/>
      <name val="Arial"/>
      <family val="2"/>
    </font>
    <font>
      <b/>
      <sz val="9"/>
      <color rgb="FF0000FF"/>
      <name val="Arial"/>
      <family val="2"/>
    </font>
    <font>
      <sz val="9"/>
      <color rgb="FF0000FF"/>
      <name val="Calibri"/>
      <family val="2"/>
      <scheme val="minor"/>
    </font>
    <font>
      <sz val="10"/>
      <color rgb="FF008000"/>
      <name val="Calibri"/>
      <family val="2"/>
      <scheme val="minor"/>
    </font>
  </fonts>
  <fills count="22">
    <fill>
      <patternFill patternType="none"/>
    </fill>
    <fill>
      <patternFill patternType="gray125"/>
    </fill>
    <fill>
      <patternFill patternType="solid">
        <fgColor indexed="44"/>
        <bgColor indexed="42"/>
      </patternFill>
    </fill>
    <fill>
      <patternFill patternType="solid">
        <fgColor indexed="29"/>
        <bgColor indexed="45"/>
      </patternFill>
    </fill>
    <fill>
      <patternFill patternType="solid">
        <fgColor indexed="26"/>
        <bgColor indexed="43"/>
      </patternFill>
    </fill>
    <fill>
      <patternFill patternType="solid">
        <fgColor indexed="31"/>
        <bgColor indexed="27"/>
      </patternFill>
    </fill>
    <fill>
      <patternFill patternType="solid">
        <fgColor indexed="42"/>
        <bgColor indexed="44"/>
      </patternFill>
    </fill>
    <fill>
      <patternFill patternType="solid">
        <fgColor indexed="43"/>
        <bgColor indexed="26"/>
      </patternFill>
    </fill>
    <fill>
      <patternFill patternType="solid">
        <fgColor indexed="45"/>
        <bgColor indexed="46"/>
      </patternFill>
    </fill>
    <fill>
      <patternFill patternType="solid">
        <fgColor indexed="25"/>
        <bgColor indexed="23"/>
      </patternFill>
    </fill>
    <fill>
      <patternFill patternType="solid">
        <fgColor indexed="50"/>
        <bgColor indexed="19"/>
      </patternFill>
    </fill>
    <fill>
      <patternFill patternType="solid">
        <fgColor indexed="48"/>
        <bgColor indexed="62"/>
      </patternFill>
    </fill>
    <fill>
      <patternFill patternType="solid">
        <fgColor indexed="54"/>
        <bgColor indexed="23"/>
      </patternFill>
    </fill>
    <fill>
      <patternFill patternType="solid">
        <fgColor indexed="49"/>
        <bgColor indexed="40"/>
      </patternFill>
    </fill>
    <fill>
      <patternFill patternType="solid">
        <fgColor indexed="10"/>
        <bgColor indexed="60"/>
      </patternFill>
    </fill>
    <fill>
      <patternFill patternType="solid">
        <fgColor indexed="46"/>
        <bgColor indexed="45"/>
      </patternFill>
    </fill>
    <fill>
      <patternFill patternType="solid">
        <fgColor indexed="9"/>
        <bgColor indexed="26"/>
      </patternFill>
    </fill>
    <fill>
      <patternFill patternType="solid">
        <fgColor indexed="55"/>
        <bgColor indexed="23"/>
      </patternFill>
    </fill>
    <fill>
      <patternFill patternType="solid">
        <fgColor indexed="22"/>
        <bgColor indexed="44"/>
      </patternFill>
    </fill>
    <fill>
      <patternFill patternType="solid">
        <fgColor theme="0" tint="-0.24994659260841701"/>
        <bgColor indexed="64"/>
      </patternFill>
    </fill>
    <fill>
      <patternFill patternType="solid">
        <fgColor theme="0" tint="-0.249977111117893"/>
        <bgColor indexed="64"/>
      </patternFill>
    </fill>
    <fill>
      <patternFill patternType="solid">
        <fgColor theme="0" tint="-0.14999847407452621"/>
        <bgColor indexed="64"/>
      </patternFill>
    </fill>
  </fills>
  <borders count="8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4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auto="1"/>
      </bottom>
      <diagonal/>
    </border>
    <border>
      <left/>
      <right/>
      <top style="medium">
        <color indexed="64"/>
      </top>
      <bottom style="medium">
        <color indexed="64"/>
      </bottom>
      <diagonal/>
    </border>
    <border>
      <left/>
      <right/>
      <top/>
      <bottom style="thin">
        <color auto="1"/>
      </bottom>
      <diagonal/>
    </border>
    <border>
      <left/>
      <right/>
      <top style="thin">
        <color indexed="64"/>
      </top>
      <bottom style="double">
        <color indexed="64"/>
      </bottom>
      <diagonal/>
    </border>
    <border>
      <left/>
      <right/>
      <top/>
      <bottom style="double">
        <color indexed="64"/>
      </bottom>
      <diagonal/>
    </border>
    <border>
      <left/>
      <right/>
      <top style="medium">
        <color indexed="64"/>
      </top>
      <bottom style="double">
        <color indexed="64"/>
      </bottom>
      <diagonal/>
    </border>
    <border>
      <left/>
      <right/>
      <top style="medium">
        <color indexed="64"/>
      </top>
      <bottom/>
      <diagonal/>
    </border>
    <border>
      <left style="thin">
        <color indexed="8"/>
      </left>
      <right style="thin">
        <color indexed="8"/>
      </right>
      <top style="thin">
        <color indexed="8"/>
      </top>
      <bottom style="thin">
        <color indexed="64"/>
      </bottom>
      <diagonal/>
    </border>
    <border>
      <left style="thin">
        <color indexed="64"/>
      </left>
      <right/>
      <top style="thin">
        <color indexed="8"/>
      </top>
      <bottom/>
      <diagonal/>
    </border>
    <border>
      <left style="thin">
        <color indexed="64"/>
      </left>
      <right/>
      <top style="thin">
        <color indexed="8"/>
      </top>
      <bottom style="thin">
        <color indexed="8"/>
      </bottom>
      <diagonal/>
    </border>
    <border>
      <left/>
      <right style="thin">
        <color indexed="8"/>
      </right>
      <top/>
      <bottom style="thin">
        <color indexed="64"/>
      </bottom>
      <diagonal/>
    </border>
    <border>
      <left/>
      <right style="thin">
        <color indexed="64"/>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diagonal/>
    </border>
    <border>
      <left/>
      <right style="thin">
        <color indexed="64"/>
      </right>
      <top/>
      <bottom style="thin">
        <color indexed="8"/>
      </bottom>
      <diagonal/>
    </border>
    <border>
      <left/>
      <right style="thin">
        <color indexed="64"/>
      </right>
      <top style="thin">
        <color indexed="8"/>
      </top>
      <bottom/>
      <diagonal/>
    </border>
    <border>
      <left style="thin">
        <color indexed="8"/>
      </left>
      <right style="thin">
        <color indexed="64"/>
      </right>
      <top/>
      <bottom/>
      <diagonal/>
    </border>
    <border>
      <left style="thin">
        <color indexed="8"/>
      </left>
      <right style="thin">
        <color indexed="64"/>
      </right>
      <top/>
      <bottom style="thin">
        <color indexed="8"/>
      </bottom>
      <diagonal/>
    </border>
    <border>
      <left style="thin">
        <color indexed="64"/>
      </left>
      <right style="thin">
        <color indexed="8"/>
      </right>
      <top style="thin">
        <color indexed="8"/>
      </top>
      <bottom style="thin">
        <color indexed="8"/>
      </bottom>
      <diagonal/>
    </border>
    <border>
      <left style="thin">
        <color indexed="64"/>
      </left>
      <right/>
      <top/>
      <bottom style="thin">
        <color indexed="8"/>
      </bottom>
      <diagonal/>
    </border>
    <border>
      <left style="thin">
        <color indexed="64"/>
      </left>
      <right style="thin">
        <color indexed="8"/>
      </right>
      <top style="thin">
        <color indexed="8"/>
      </top>
      <bottom/>
      <diagonal/>
    </border>
    <border>
      <left style="thin">
        <color indexed="64"/>
      </left>
      <right style="thin">
        <color indexed="8"/>
      </right>
      <top/>
      <bottom style="thin">
        <color indexed="8"/>
      </bottom>
      <diagonal/>
    </border>
    <border>
      <left style="thin">
        <color indexed="8"/>
      </left>
      <right style="thin">
        <color indexed="8"/>
      </right>
      <top/>
      <bottom style="thin">
        <color indexed="8"/>
      </bottom>
      <diagonal/>
    </border>
    <border>
      <left/>
      <right style="thin">
        <color indexed="8"/>
      </right>
      <top style="thin">
        <color indexed="64"/>
      </top>
      <bottom style="thin">
        <color indexed="8"/>
      </bottom>
      <diagonal/>
    </border>
    <border>
      <left/>
      <right/>
      <top/>
      <bottom style="thin">
        <color indexed="64"/>
      </bottom>
      <diagonal/>
    </border>
    <border>
      <left/>
      <right style="thin">
        <color indexed="8"/>
      </right>
      <top/>
      <bottom style="thin">
        <color indexed="8"/>
      </bottom>
      <diagonal/>
    </border>
    <border>
      <left/>
      <right/>
      <top/>
      <bottom style="thin">
        <color indexed="8"/>
      </bottom>
      <diagonal/>
    </border>
    <border>
      <left style="thin">
        <color indexed="8"/>
      </left>
      <right/>
      <top/>
      <bottom style="thin">
        <color indexed="8"/>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8"/>
      </left>
      <right style="thin">
        <color indexed="8"/>
      </right>
      <top style="thin">
        <color indexed="8"/>
      </top>
      <bottom style="double">
        <color indexed="64"/>
      </bottom>
      <diagonal/>
    </border>
    <border>
      <left style="thin">
        <color indexed="8"/>
      </left>
      <right/>
      <top style="thin">
        <color indexed="8"/>
      </top>
      <bottom style="double">
        <color indexed="64"/>
      </bottom>
      <diagonal/>
    </border>
    <border>
      <left/>
      <right style="thin">
        <color indexed="8"/>
      </right>
      <top style="thin">
        <color indexed="8"/>
      </top>
      <bottom style="double">
        <color indexed="64"/>
      </bottom>
      <diagonal/>
    </border>
    <border>
      <left style="thin">
        <color indexed="64"/>
      </left>
      <right style="thin">
        <color indexed="64"/>
      </right>
      <top style="thin">
        <color indexed="64"/>
      </top>
      <bottom style="double">
        <color indexed="64"/>
      </bottom>
      <diagonal/>
    </border>
    <border>
      <left style="thin">
        <color indexed="8"/>
      </left>
      <right/>
      <top/>
      <bottom style="double">
        <color indexed="8"/>
      </bottom>
      <diagonal/>
    </border>
    <border>
      <left/>
      <right/>
      <top/>
      <bottom style="double">
        <color indexed="8"/>
      </bottom>
      <diagonal/>
    </border>
    <border>
      <left/>
      <right style="thin">
        <color indexed="8"/>
      </right>
      <top/>
      <bottom style="double">
        <color indexed="8"/>
      </bottom>
      <diagonal/>
    </border>
    <border>
      <left style="thin">
        <color indexed="8"/>
      </left>
      <right style="thin">
        <color indexed="8"/>
      </right>
      <top/>
      <bottom style="double">
        <color indexed="8"/>
      </bottom>
      <diagonal/>
    </border>
    <border>
      <left style="thin">
        <color indexed="8"/>
      </left>
      <right/>
      <top/>
      <bottom/>
      <diagonal/>
    </border>
    <border>
      <left style="thin">
        <color indexed="8"/>
      </left>
      <right style="thin">
        <color indexed="8"/>
      </right>
      <top/>
      <bottom style="thin">
        <color indexed="64"/>
      </bottom>
      <diagonal/>
    </border>
    <border>
      <left style="thin">
        <color indexed="8"/>
      </left>
      <right/>
      <top style="thin">
        <color indexed="64"/>
      </top>
      <bottom style="thin">
        <color indexed="64"/>
      </bottom>
      <diagonal/>
    </border>
    <border>
      <left/>
      <right style="thin">
        <color indexed="8"/>
      </right>
      <top style="thin">
        <color indexed="64"/>
      </top>
      <bottom style="thin">
        <color indexed="64"/>
      </bottom>
      <diagonal/>
    </border>
    <border>
      <left/>
      <right/>
      <top style="thin">
        <color auto="1"/>
      </top>
      <bottom style="thin">
        <color indexed="64"/>
      </bottom>
      <diagonal/>
    </border>
    <border>
      <left style="thin">
        <color indexed="64"/>
      </left>
      <right/>
      <top style="thin">
        <color indexed="64"/>
      </top>
      <bottom style="thin">
        <color indexed="8"/>
      </bottom>
      <diagonal/>
    </border>
    <border>
      <left/>
      <right/>
      <top style="thin">
        <color indexed="64"/>
      </top>
      <bottom style="thin">
        <color indexed="8"/>
      </bottom>
      <diagonal/>
    </border>
    <border>
      <left style="thin">
        <color indexed="64"/>
      </left>
      <right style="thin">
        <color indexed="64"/>
      </right>
      <top/>
      <bottom style="thin">
        <color indexed="8"/>
      </bottom>
      <diagonal/>
    </border>
    <border>
      <left style="thin">
        <color indexed="64"/>
      </left>
      <right/>
      <top style="thin">
        <color indexed="64"/>
      </top>
      <bottom style="double">
        <color indexed="64"/>
      </bottom>
      <diagonal/>
    </border>
    <border>
      <left style="thin">
        <color indexed="64"/>
      </left>
      <right style="thin">
        <color indexed="8"/>
      </right>
      <top style="thin">
        <color indexed="8"/>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s>
  <cellStyleXfs count="49">
    <xf numFmtId="0" fontId="0" fillId="0" borderId="0"/>
    <xf numFmtId="0" fontId="1" fillId="0" borderId="0">
      <alignment vertical="top"/>
    </xf>
    <xf numFmtId="0" fontId="2" fillId="2" borderId="0" applyNumberFormat="0" applyBorder="0" applyProtection="0">
      <alignment vertical="top"/>
    </xf>
    <xf numFmtId="0" fontId="2" fillId="3" borderId="0" applyNumberFormat="0" applyBorder="0" applyProtection="0">
      <alignment vertical="top"/>
    </xf>
    <xf numFmtId="0" fontId="2" fillId="4" borderId="0" applyNumberFormat="0" applyBorder="0" applyProtection="0">
      <alignment vertical="top"/>
    </xf>
    <xf numFmtId="0" fontId="2" fillId="5" borderId="0" applyNumberFormat="0" applyBorder="0" applyProtection="0">
      <alignment vertical="top"/>
    </xf>
    <xf numFmtId="0" fontId="2" fillId="6" borderId="0" applyNumberFormat="0" applyBorder="0" applyProtection="0">
      <alignment vertical="top"/>
    </xf>
    <xf numFmtId="0" fontId="2" fillId="4" borderId="0" applyNumberFormat="0" applyBorder="0" applyProtection="0">
      <alignment vertical="top"/>
    </xf>
    <xf numFmtId="0" fontId="2" fillId="6" borderId="0" applyNumberFormat="0" applyBorder="0" applyProtection="0">
      <alignment vertical="top"/>
    </xf>
    <xf numFmtId="0" fontId="2" fillId="3" borderId="0" applyNumberFormat="0" applyBorder="0" applyProtection="0">
      <alignment vertical="top"/>
    </xf>
    <xf numFmtId="0" fontId="2" fillId="7" borderId="0" applyNumberFormat="0" applyBorder="0" applyProtection="0">
      <alignment vertical="top"/>
    </xf>
    <xf numFmtId="0" fontId="2" fillId="8" borderId="0" applyNumberFormat="0" applyBorder="0" applyProtection="0">
      <alignment vertical="top"/>
    </xf>
    <xf numFmtId="0" fontId="2" fillId="6" borderId="0" applyNumberFormat="0" applyBorder="0" applyProtection="0">
      <alignment vertical="top"/>
    </xf>
    <xf numFmtId="0" fontId="2" fillId="4" borderId="0" applyNumberFormat="0" applyBorder="0" applyProtection="0">
      <alignment vertical="top"/>
    </xf>
    <xf numFmtId="0" fontId="3" fillId="6" borderId="0" applyNumberFormat="0" applyBorder="0" applyProtection="0">
      <alignment vertical="top"/>
    </xf>
    <xf numFmtId="0" fontId="3" fillId="9" borderId="0" applyNumberFormat="0" applyBorder="0" applyProtection="0">
      <alignment vertical="top"/>
    </xf>
    <xf numFmtId="0" fontId="3" fillId="10" borderId="0" applyNumberFormat="0" applyBorder="0" applyProtection="0">
      <alignment vertical="top"/>
    </xf>
    <xf numFmtId="0" fontId="3" fillId="8" borderId="0" applyNumberFormat="0" applyBorder="0" applyProtection="0">
      <alignment vertical="top"/>
    </xf>
    <xf numFmtId="0" fontId="3" fillId="6" borderId="0" applyNumberFormat="0" applyBorder="0" applyProtection="0">
      <alignment vertical="top"/>
    </xf>
    <xf numFmtId="0" fontId="3" fillId="3" borderId="0" applyNumberFormat="0" applyBorder="0" applyProtection="0">
      <alignment vertical="top"/>
    </xf>
    <xf numFmtId="0" fontId="3" fillId="11" borderId="0" applyNumberFormat="0" applyBorder="0" applyProtection="0">
      <alignment vertical="top"/>
    </xf>
    <xf numFmtId="0" fontId="3" fillId="9" borderId="0" applyNumberFormat="0" applyBorder="0" applyProtection="0">
      <alignment vertical="top"/>
    </xf>
    <xf numFmtId="0" fontId="3" fillId="10" borderId="0" applyNumberFormat="0" applyBorder="0" applyProtection="0">
      <alignment vertical="top"/>
    </xf>
    <xf numFmtId="0" fontId="3" fillId="12" borderId="0" applyNumberFormat="0" applyBorder="0" applyProtection="0">
      <alignment vertical="top"/>
    </xf>
    <xf numFmtId="0" fontId="3" fillId="13" borderId="0" applyNumberFormat="0" applyBorder="0" applyProtection="0">
      <alignment vertical="top"/>
    </xf>
    <xf numFmtId="0" fontId="3" fillId="14" borderId="0" applyNumberFormat="0" applyBorder="0" applyProtection="0">
      <alignment vertical="top"/>
    </xf>
    <xf numFmtId="0" fontId="4" fillId="15" borderId="0" applyNumberFormat="0" applyBorder="0" applyProtection="0">
      <alignment vertical="top"/>
    </xf>
    <xf numFmtId="0" fontId="5" fillId="16" borderId="1" applyNumberFormat="0" applyProtection="0">
      <alignment vertical="top"/>
    </xf>
    <xf numFmtId="0" fontId="6" fillId="17" borderId="2" applyNumberFormat="0" applyProtection="0">
      <alignment vertical="top"/>
    </xf>
    <xf numFmtId="3" fontId="1" fillId="0" borderId="0" applyFill="0" applyBorder="0" applyProtection="0">
      <alignment vertical="top"/>
    </xf>
    <xf numFmtId="164" fontId="1" fillId="0" borderId="0" applyFill="0" applyBorder="0" applyProtection="0">
      <alignment vertical="top"/>
    </xf>
    <xf numFmtId="14" fontId="1" fillId="0" borderId="0" applyFill="0" applyBorder="0" applyProtection="0">
      <alignment vertical="top"/>
    </xf>
    <xf numFmtId="0" fontId="7" fillId="0" borderId="0" applyNumberFormat="0" applyFill="0" applyBorder="0" applyProtection="0">
      <alignment vertical="top"/>
    </xf>
    <xf numFmtId="2" fontId="1" fillId="0" borderId="0" applyFill="0" applyBorder="0" applyProtection="0">
      <alignment vertical="top"/>
    </xf>
    <xf numFmtId="0" fontId="8" fillId="6" borderId="0" applyNumberFormat="0" applyBorder="0" applyProtection="0">
      <alignment vertical="top"/>
    </xf>
    <xf numFmtId="0" fontId="1" fillId="0" borderId="0" applyNumberFormat="0" applyFill="0" applyProtection="0">
      <alignment vertical="top"/>
    </xf>
    <xf numFmtId="0" fontId="1" fillId="0" borderId="0" applyNumberFormat="0" applyFill="0" applyProtection="0">
      <alignment vertical="top"/>
    </xf>
    <xf numFmtId="0" fontId="9" fillId="0" borderId="3" applyNumberFormat="0" applyFill="0" applyProtection="0">
      <alignment vertical="top"/>
    </xf>
    <xf numFmtId="0" fontId="9" fillId="0" borderId="0" applyNumberFormat="0" applyFill="0" applyBorder="0" applyProtection="0">
      <alignment vertical="top"/>
    </xf>
    <xf numFmtId="0" fontId="10" fillId="7" borderId="1" applyNumberFormat="0" applyProtection="0">
      <alignment vertical="top"/>
    </xf>
    <xf numFmtId="0" fontId="11" fillId="0" borderId="4" applyNumberFormat="0" applyFill="0" applyProtection="0">
      <alignment vertical="top"/>
    </xf>
    <xf numFmtId="0" fontId="12" fillId="7" borderId="0" applyNumberFormat="0" applyBorder="0" applyProtection="0">
      <alignment vertical="top"/>
    </xf>
    <xf numFmtId="0" fontId="1" fillId="4" borderId="5" applyNumberFormat="0" applyProtection="0">
      <alignment vertical="top"/>
    </xf>
    <xf numFmtId="0" fontId="13" fillId="16" borderId="6" applyNumberFormat="0" applyProtection="0">
      <alignment vertical="top"/>
    </xf>
    <xf numFmtId="0" fontId="14" fillId="0" borderId="0" applyNumberFormat="0" applyFill="0" applyBorder="0" applyProtection="0">
      <alignment vertical="top"/>
    </xf>
    <xf numFmtId="0" fontId="1" fillId="0" borderId="0" applyNumberFormat="0" applyBorder="0" applyProtection="0">
      <alignment vertical="top"/>
    </xf>
    <xf numFmtId="0" fontId="11" fillId="0" borderId="0" applyNumberFormat="0" applyFill="0" applyBorder="0" applyProtection="0">
      <alignment vertical="top"/>
    </xf>
    <xf numFmtId="9" fontId="1" fillId="0" borderId="0" applyFont="0" applyFill="0" applyBorder="0" applyAlignment="0" applyProtection="0"/>
    <xf numFmtId="0" fontId="31" fillId="0" borderId="0"/>
  </cellStyleXfs>
  <cellXfs count="797">
    <xf numFmtId="0" fontId="0" fillId="0" borderId="0" xfId="0"/>
    <xf numFmtId="0" fontId="1" fillId="0" borderId="0" xfId="1" applyFont="1" applyFill="1" applyBorder="1" applyAlignment="1"/>
    <xf numFmtId="0" fontId="15" fillId="0" borderId="7" xfId="1" applyFont="1" applyFill="1" applyBorder="1" applyAlignment="1" applyProtection="1">
      <alignment horizontal="left"/>
      <protection locked="0"/>
    </xf>
    <xf numFmtId="0" fontId="15" fillId="0" borderId="0" xfId="1" applyFont="1" applyFill="1" applyBorder="1" applyAlignment="1" applyProtection="1">
      <alignment horizontal="left"/>
      <protection locked="0"/>
    </xf>
    <xf numFmtId="0" fontId="1" fillId="0" borderId="0" xfId="1" applyFont="1" applyFill="1" applyBorder="1" applyAlignment="1" applyProtection="1">
      <alignment horizontal="left"/>
      <protection locked="0"/>
    </xf>
    <xf numFmtId="0" fontId="1" fillId="0" borderId="0" xfId="1">
      <alignment vertical="top"/>
    </xf>
    <xf numFmtId="0" fontId="1" fillId="0" borderId="0" xfId="1" applyAlignment="1"/>
    <xf numFmtId="0" fontId="1" fillId="18" borderId="7" xfId="1" applyFont="1" applyFill="1" applyBorder="1" applyAlignment="1"/>
    <xf numFmtId="0" fontId="1" fillId="18" borderId="12" xfId="1" applyFill="1" applyBorder="1" applyAlignment="1"/>
    <xf numFmtId="0" fontId="1" fillId="0" borderId="8" xfId="1" applyBorder="1" applyAlignment="1"/>
    <xf numFmtId="0" fontId="1" fillId="18" borderId="0" xfId="1" applyFont="1" applyFill="1" applyAlignment="1"/>
    <xf numFmtId="0" fontId="1" fillId="0" borderId="0" xfId="1" applyFont="1" applyAlignment="1">
      <alignment horizontal="center"/>
    </xf>
    <xf numFmtId="0" fontId="20" fillId="0" borderId="0" xfId="1" applyFont="1" applyAlignment="1">
      <alignment horizontal="center"/>
    </xf>
    <xf numFmtId="0" fontId="16" fillId="0" borderId="8" xfId="1" applyFont="1" applyBorder="1" applyAlignment="1" applyProtection="1">
      <protection locked="0"/>
    </xf>
    <xf numFmtId="0" fontId="1" fillId="0" borderId="8" xfId="1" applyFont="1" applyBorder="1" applyAlignment="1" applyProtection="1">
      <protection locked="0"/>
    </xf>
    <xf numFmtId="0" fontId="1" fillId="18" borderId="11" xfId="1" applyFont="1" applyFill="1" applyBorder="1" applyAlignment="1"/>
    <xf numFmtId="14" fontId="19" fillId="0" borderId="7" xfId="1" applyNumberFormat="1" applyFont="1" applyBorder="1" applyAlignment="1" applyProtection="1">
      <protection locked="0"/>
    </xf>
    <xf numFmtId="0" fontId="19" fillId="0" borderId="0" xfId="1" applyFont="1" applyAlignment="1"/>
    <xf numFmtId="1" fontId="16" fillId="0" borderId="8" xfId="1" applyNumberFormat="1" applyFont="1" applyBorder="1" applyAlignment="1" applyProtection="1">
      <alignment horizontal="center"/>
      <protection locked="0"/>
    </xf>
    <xf numFmtId="0" fontId="1" fillId="0" borderId="8" xfId="1" applyBorder="1" applyAlignment="1" applyProtection="1">
      <protection locked="0"/>
    </xf>
    <xf numFmtId="0" fontId="1" fillId="0" borderId="0" xfId="1">
      <alignment vertical="top"/>
    </xf>
    <xf numFmtId="0" fontId="18" fillId="18" borderId="8" xfId="1" applyFont="1" applyFill="1" applyBorder="1" applyAlignment="1">
      <alignment horizontal="center"/>
    </xf>
    <xf numFmtId="0" fontId="1" fillId="18" borderId="10" xfId="1" applyFont="1" applyFill="1" applyBorder="1" applyAlignment="1">
      <alignment horizontal="center"/>
    </xf>
    <xf numFmtId="0" fontId="19" fillId="0" borderId="8" xfId="1" applyFont="1" applyBorder="1" applyAlignment="1" applyProtection="1">
      <protection locked="0"/>
    </xf>
    <xf numFmtId="0" fontId="20" fillId="0" borderId="8" xfId="1" applyFont="1" applyBorder="1" applyAlignment="1"/>
    <xf numFmtId="0" fontId="15" fillId="0" borderId="8" xfId="1" applyFont="1" applyBorder="1" applyAlignment="1" applyProtection="1">
      <alignment horizontal="left"/>
      <protection locked="0"/>
    </xf>
    <xf numFmtId="0" fontId="1" fillId="18" borderId="14" xfId="1" applyFont="1" applyFill="1" applyBorder="1" applyAlignment="1">
      <alignment horizontal="left"/>
    </xf>
    <xf numFmtId="0" fontId="1" fillId="18" borderId="12" xfId="1" applyFont="1" applyFill="1" applyBorder="1" applyAlignment="1">
      <alignment horizontal="left"/>
    </xf>
    <xf numFmtId="0" fontId="1" fillId="18" borderId="20" xfId="1" applyFont="1" applyFill="1" applyBorder="1" applyAlignment="1">
      <alignment horizontal="left"/>
    </xf>
    <xf numFmtId="0" fontId="1" fillId="18" borderId="9" xfId="1" applyFont="1" applyFill="1" applyBorder="1" applyAlignment="1"/>
    <xf numFmtId="0" fontId="1" fillId="18" borderId="8" xfId="1" applyFont="1" applyFill="1" applyBorder="1" applyAlignment="1"/>
    <xf numFmtId="0" fontId="32" fillId="0" borderId="0" xfId="0" applyFont="1"/>
    <xf numFmtId="0" fontId="1" fillId="18" borderId="13" xfId="1" applyFont="1" applyFill="1" applyBorder="1" applyAlignment="1">
      <alignment horizontal="left"/>
    </xf>
    <xf numFmtId="0" fontId="1" fillId="18" borderId="0" xfId="1" applyFont="1" applyFill="1" applyBorder="1" applyAlignment="1">
      <alignment horizontal="left"/>
    </xf>
    <xf numFmtId="0" fontId="29" fillId="18" borderId="19" xfId="1" applyFont="1" applyFill="1" applyBorder="1" applyAlignment="1">
      <alignment horizontal="left"/>
    </xf>
    <xf numFmtId="0" fontId="29" fillId="18" borderId="21" xfId="1" applyFont="1" applyFill="1" applyBorder="1" applyAlignment="1">
      <alignment horizontal="left"/>
    </xf>
    <xf numFmtId="0" fontId="33" fillId="18" borderId="11" xfId="1" applyFont="1" applyFill="1" applyBorder="1" applyAlignment="1">
      <alignment horizontal="left"/>
    </xf>
    <xf numFmtId="0" fontId="1" fillId="18" borderId="16" xfId="1" applyFont="1" applyFill="1" applyBorder="1" applyAlignment="1">
      <alignment horizontal="left"/>
    </xf>
    <xf numFmtId="0" fontId="35" fillId="20" borderId="22" xfId="0" applyFont="1" applyFill="1" applyBorder="1"/>
    <xf numFmtId="0" fontId="36" fillId="20" borderId="28" xfId="0" applyFont="1" applyFill="1" applyBorder="1" applyAlignment="1">
      <alignment horizontal="center"/>
    </xf>
    <xf numFmtId="0" fontId="34" fillId="20" borderId="0" xfId="0" applyFont="1" applyFill="1" applyBorder="1"/>
    <xf numFmtId="0" fontId="20" fillId="18" borderId="0" xfId="1" applyFont="1" applyFill="1" applyBorder="1" applyAlignment="1">
      <alignment horizontal="center"/>
    </xf>
    <xf numFmtId="3" fontId="15" fillId="0" borderId="0" xfId="1" applyNumberFormat="1" applyFont="1" applyFill="1" applyBorder="1" applyAlignment="1" applyProtection="1">
      <protection locked="0"/>
    </xf>
    <xf numFmtId="0" fontId="19" fillId="0" borderId="0" xfId="1" applyFont="1" applyFill="1" applyBorder="1" applyAlignment="1" applyProtection="1">
      <alignment horizontal="center"/>
      <protection locked="0"/>
    </xf>
    <xf numFmtId="3" fontId="19" fillId="0" borderId="0" xfId="1" applyNumberFormat="1" applyFont="1" applyFill="1" applyBorder="1" applyAlignment="1" applyProtection="1">
      <alignment horizontal="right"/>
      <protection locked="0"/>
    </xf>
    <xf numFmtId="0" fontId="1" fillId="0" borderId="0" xfId="1" applyFont="1" applyFill="1" applyBorder="1" applyAlignment="1">
      <alignment horizontal="left"/>
    </xf>
    <xf numFmtId="0" fontId="20" fillId="0" borderId="0" xfId="1" applyFont="1" applyFill="1" applyBorder="1" applyAlignment="1">
      <alignment horizontal="center"/>
    </xf>
    <xf numFmtId="0" fontId="15" fillId="0" borderId="0" xfId="1" applyFont="1" applyFill="1" applyBorder="1" applyAlignment="1">
      <alignment horizontal="right"/>
    </xf>
    <xf numFmtId="3" fontId="23" fillId="0" borderId="0" xfId="1" applyNumberFormat="1" applyFont="1" applyFill="1" applyBorder="1" applyAlignment="1"/>
    <xf numFmtId="0" fontId="34" fillId="0" borderId="0" xfId="0" applyFont="1" applyFill="1" applyBorder="1"/>
    <xf numFmtId="0" fontId="19" fillId="0" borderId="0" xfId="1" applyFont="1" applyFill="1" applyBorder="1" applyAlignment="1">
      <alignment horizontal="right"/>
    </xf>
    <xf numFmtId="3" fontId="15" fillId="0" borderId="0" xfId="1" applyNumberFormat="1" applyFont="1" applyFill="1" applyBorder="1" applyAlignment="1" applyProtection="1">
      <alignment horizontal="right"/>
      <protection locked="0"/>
    </xf>
    <xf numFmtId="0" fontId="36" fillId="0" borderId="0" xfId="0" applyFont="1" applyFill="1" applyBorder="1"/>
    <xf numFmtId="0" fontId="15" fillId="0" borderId="0" xfId="1" applyFont="1" applyFill="1" applyBorder="1" applyAlignment="1" applyProtection="1"/>
    <xf numFmtId="0" fontId="15" fillId="0" borderId="0" xfId="1" applyFont="1" applyFill="1" applyBorder="1" applyAlignment="1"/>
    <xf numFmtId="0" fontId="34" fillId="20" borderId="27" xfId="0" applyFont="1" applyFill="1" applyBorder="1"/>
    <xf numFmtId="0" fontId="36" fillId="20" borderId="0" xfId="0" applyFont="1" applyFill="1" applyBorder="1" applyAlignment="1">
      <alignment horizontal="center"/>
    </xf>
    <xf numFmtId="0" fontId="17" fillId="0" borderId="0" xfId="1" applyFont="1" applyFill="1" applyBorder="1" applyAlignment="1" applyProtection="1">
      <protection locked="0"/>
    </xf>
    <xf numFmtId="0" fontId="29" fillId="18" borderId="22" xfId="1" applyFont="1" applyFill="1" applyBorder="1" applyAlignment="1">
      <alignment horizontal="left"/>
    </xf>
    <xf numFmtId="0" fontId="1" fillId="18" borderId="26" xfId="1" applyFont="1" applyFill="1" applyBorder="1" applyAlignment="1">
      <alignment horizontal="right" vertical="center"/>
    </xf>
    <xf numFmtId="0" fontId="1" fillId="0" borderId="0" xfId="1" applyFont="1" applyBorder="1" applyAlignment="1" applyProtection="1">
      <alignment horizontal="left"/>
      <protection locked="0"/>
    </xf>
    <xf numFmtId="0" fontId="1" fillId="0" borderId="0" xfId="1" applyFont="1" applyBorder="1" applyAlignment="1" applyProtection="1">
      <protection locked="0"/>
    </xf>
    <xf numFmtId="0" fontId="37" fillId="0" borderId="0" xfId="1" applyFont="1" applyFill="1" applyBorder="1" applyAlignment="1" applyProtection="1">
      <alignment horizontal="left" vertical="center" readingOrder="1"/>
      <protection locked="0"/>
    </xf>
    <xf numFmtId="0" fontId="18" fillId="0" borderId="0" xfId="1" applyFont="1" applyFill="1" applyBorder="1" applyAlignment="1">
      <alignment horizontal="left" vertical="center" readingOrder="1"/>
    </xf>
    <xf numFmtId="0" fontId="18" fillId="0" borderId="0" xfId="1" applyFont="1" applyFill="1" applyBorder="1" applyAlignment="1" applyProtection="1">
      <alignment horizontal="left" vertical="center" readingOrder="1"/>
      <protection locked="0"/>
    </xf>
    <xf numFmtId="0" fontId="22" fillId="0" borderId="0" xfId="1" applyFont="1" applyFill="1" applyBorder="1" applyAlignment="1" applyProtection="1">
      <alignment horizontal="left" vertical="center" readingOrder="1"/>
      <protection locked="0"/>
    </xf>
    <xf numFmtId="0" fontId="40" fillId="0" borderId="0" xfId="1" applyFont="1" applyBorder="1" applyAlignment="1">
      <alignment horizontal="left"/>
    </xf>
    <xf numFmtId="0" fontId="29" fillId="0" borderId="44" xfId="1" applyFont="1" applyBorder="1" applyAlignment="1">
      <alignment horizontal="center" vertical="center"/>
    </xf>
    <xf numFmtId="0" fontId="42" fillId="18" borderId="11" xfId="1" applyFont="1" applyFill="1" applyBorder="1" applyAlignment="1">
      <alignment horizontal="center"/>
    </xf>
    <xf numFmtId="0" fontId="42" fillId="18" borderId="7" xfId="1" applyFont="1" applyFill="1" applyBorder="1" applyAlignment="1">
      <alignment horizontal="center"/>
    </xf>
    <xf numFmtId="0" fontId="42" fillId="18" borderId="46" xfId="1" applyFont="1" applyFill="1" applyBorder="1" applyAlignment="1">
      <alignment horizontal="center"/>
    </xf>
    <xf numFmtId="0" fontId="42" fillId="18" borderId="16" xfId="1" applyFont="1" applyFill="1" applyBorder="1" applyAlignment="1">
      <alignment horizontal="center" vertical="center"/>
    </xf>
    <xf numFmtId="0" fontId="29" fillId="18" borderId="11" xfId="1" applyFont="1" applyFill="1" applyBorder="1" applyAlignment="1">
      <alignment horizontal="left"/>
    </xf>
    <xf numFmtId="0" fontId="29" fillId="18" borderId="14" xfId="1" applyFont="1" applyFill="1" applyBorder="1" applyAlignment="1">
      <alignment horizontal="left"/>
    </xf>
    <xf numFmtId="0" fontId="20" fillId="18" borderId="42" xfId="1" applyFont="1" applyFill="1" applyBorder="1" applyAlignment="1">
      <alignment horizontal="center" vertical="center"/>
    </xf>
    <xf numFmtId="0" fontId="20" fillId="0" borderId="54" xfId="1" applyFont="1" applyBorder="1" applyAlignment="1">
      <alignment horizontal="center"/>
    </xf>
    <xf numFmtId="0" fontId="25" fillId="0" borderId="0" xfId="1" applyFont="1" applyBorder="1" applyAlignment="1" applyProtection="1">
      <alignment horizontal="left"/>
      <protection locked="0"/>
    </xf>
    <xf numFmtId="0" fontId="1" fillId="0" borderId="0" xfId="1" applyFont="1" applyAlignment="1">
      <alignment horizontal="left"/>
    </xf>
    <xf numFmtId="0" fontId="25" fillId="0" borderId="56" xfId="1" applyFont="1" applyBorder="1" applyAlignment="1" applyProtection="1">
      <alignment horizontal="left"/>
      <protection locked="0"/>
    </xf>
    <xf numFmtId="0" fontId="1" fillId="0" borderId="0" xfId="1" applyFont="1" applyAlignment="1">
      <alignment horizontal="center"/>
    </xf>
    <xf numFmtId="0" fontId="19" fillId="0" borderId="7" xfId="1" applyFont="1" applyBorder="1" applyAlignment="1" applyProtection="1">
      <alignment horizontal="left" vertical="center"/>
      <protection locked="0"/>
    </xf>
    <xf numFmtId="0" fontId="19" fillId="0" borderId="14" xfId="1" applyFont="1" applyBorder="1" applyAlignment="1" applyProtection="1">
      <alignment horizontal="left" vertical="center"/>
      <protection locked="0"/>
    </xf>
    <xf numFmtId="0" fontId="19" fillId="0" borderId="7" xfId="1" applyFont="1" applyBorder="1" applyAlignment="1" applyProtection="1">
      <alignment horizontal="left"/>
      <protection locked="0"/>
    </xf>
    <xf numFmtId="0" fontId="44" fillId="0" borderId="0" xfId="0" applyFont="1"/>
    <xf numFmtId="0" fontId="30" fillId="0" borderId="0" xfId="1" applyFont="1" applyAlignment="1">
      <alignment horizontal="center" vertical="center"/>
    </xf>
    <xf numFmtId="0" fontId="29" fillId="0" borderId="0" xfId="1" applyFont="1">
      <alignment vertical="top"/>
    </xf>
    <xf numFmtId="0" fontId="30" fillId="0" borderId="0" xfId="1" applyFont="1" applyAlignment="1"/>
    <xf numFmtId="0" fontId="30" fillId="0" borderId="34" xfId="1" applyFont="1" applyBorder="1" applyAlignment="1"/>
    <xf numFmtId="0" fontId="29" fillId="0" borderId="34" xfId="1" applyFont="1" applyBorder="1" applyAlignment="1"/>
    <xf numFmtId="0" fontId="30" fillId="0" borderId="0" xfId="1" applyFont="1" applyBorder="1" applyAlignment="1">
      <alignment horizontal="center" vertical="center"/>
    </xf>
    <xf numFmtId="3" fontId="47" fillId="0" borderId="8" xfId="1" applyNumberFormat="1" applyFont="1" applyBorder="1" applyAlignment="1" applyProtection="1">
      <protection locked="0"/>
    </xf>
    <xf numFmtId="3" fontId="47" fillId="0" borderId="18" xfId="1" applyNumberFormat="1" applyFont="1" applyBorder="1" applyAlignment="1" applyProtection="1">
      <protection locked="0"/>
    </xf>
    <xf numFmtId="0" fontId="30" fillId="0" borderId="0" xfId="1" applyFont="1" applyBorder="1" applyAlignment="1"/>
    <xf numFmtId="0" fontId="49" fillId="0" borderId="0" xfId="1" applyFont="1" applyBorder="1" applyAlignment="1"/>
    <xf numFmtId="0" fontId="49" fillId="0" borderId="0" xfId="1" applyFont="1" applyBorder="1" applyAlignment="1">
      <alignment horizontal="center" vertical="center"/>
    </xf>
    <xf numFmtId="0" fontId="45" fillId="0" borderId="21" xfId="1" applyFont="1" applyBorder="1" applyAlignment="1">
      <alignment horizontal="center" vertical="center"/>
    </xf>
    <xf numFmtId="0" fontId="45" fillId="0" borderId="21" xfId="1" applyFont="1" applyBorder="1" applyAlignment="1"/>
    <xf numFmtId="0" fontId="41" fillId="0" borderId="0" xfId="1" applyFont="1" applyBorder="1" applyAlignment="1" applyProtection="1">
      <alignment vertical="center"/>
      <protection locked="0"/>
    </xf>
    <xf numFmtId="0" fontId="30" fillId="0" borderId="0" xfId="1" applyFont="1" applyBorder="1" applyAlignment="1">
      <alignment horizontal="right"/>
    </xf>
    <xf numFmtId="49" fontId="30" fillId="0" borderId="21" xfId="1" applyNumberFormat="1" applyFont="1" applyFill="1" applyBorder="1" applyAlignment="1">
      <alignment horizontal="center" vertical="center"/>
    </xf>
    <xf numFmtId="49" fontId="52" fillId="0" borderId="21" xfId="0" applyNumberFormat="1" applyFont="1" applyBorder="1" applyAlignment="1">
      <alignment horizontal="center" vertical="center"/>
    </xf>
    <xf numFmtId="49" fontId="47" fillId="0" borderId="21" xfId="1" applyNumberFormat="1" applyFont="1" applyBorder="1" applyAlignment="1">
      <alignment horizontal="center" vertical="center"/>
    </xf>
    <xf numFmtId="3" fontId="47" fillId="0" borderId="21" xfId="1" applyNumberFormat="1" applyFont="1" applyBorder="1" applyAlignment="1" applyProtection="1">
      <protection locked="0"/>
    </xf>
    <xf numFmtId="0" fontId="30" fillId="0" borderId="8" xfId="1" applyFont="1" applyBorder="1" applyAlignment="1">
      <alignment vertical="center"/>
    </xf>
    <xf numFmtId="0" fontId="16" fillId="0" borderId="8" xfId="1" applyFont="1" applyBorder="1" applyAlignment="1" applyProtection="1">
      <alignment horizontal="center" vertical="center"/>
      <protection locked="0"/>
    </xf>
    <xf numFmtId="0" fontId="17" fillId="0" borderId="8" xfId="1" applyFont="1" applyBorder="1" applyAlignment="1"/>
    <xf numFmtId="166" fontId="53" fillId="0" borderId="8" xfId="1" applyNumberFormat="1" applyFont="1" applyBorder="1" applyAlignment="1" applyProtection="1">
      <protection locked="0"/>
    </xf>
    <xf numFmtId="166" fontId="53" fillId="0" borderId="62" xfId="1" applyNumberFormat="1" applyFont="1" applyBorder="1" applyAlignment="1" applyProtection="1">
      <protection locked="0"/>
    </xf>
    <xf numFmtId="166" fontId="54" fillId="0" borderId="54" xfId="1" applyNumberFormat="1" applyFont="1" applyBorder="1" applyAlignment="1">
      <alignment horizontal="right" vertical="center"/>
    </xf>
    <xf numFmtId="166" fontId="54" fillId="0" borderId="8" xfId="1" applyNumberFormat="1" applyFont="1" applyBorder="1" applyAlignment="1">
      <alignment horizontal="right" vertical="center"/>
    </xf>
    <xf numFmtId="166" fontId="56" fillId="0" borderId="54" xfId="1" applyNumberFormat="1" applyFont="1" applyBorder="1" applyAlignment="1"/>
    <xf numFmtId="166" fontId="56" fillId="0" borderId="21" xfId="0" applyNumberFormat="1" applyFont="1" applyBorder="1"/>
    <xf numFmtId="166" fontId="53" fillId="0" borderId="8" xfId="1" applyNumberFormat="1" applyFont="1" applyBorder="1" applyAlignment="1" applyProtection="1">
      <alignment horizontal="right" vertical="center"/>
      <protection locked="0"/>
    </xf>
    <xf numFmtId="166" fontId="53" fillId="0" borderId="62" xfId="1" applyNumberFormat="1" applyFont="1" applyBorder="1" applyAlignment="1" applyProtection="1">
      <alignment horizontal="right" vertical="center"/>
      <protection locked="0"/>
    </xf>
    <xf numFmtId="166" fontId="57" fillId="0" borderId="8" xfId="1" applyNumberFormat="1" applyFont="1" applyBorder="1" applyAlignment="1">
      <alignment vertical="center"/>
    </xf>
    <xf numFmtId="166" fontId="57" fillId="0" borderId="65" xfId="1" applyNumberFormat="1" applyFont="1" applyFill="1" applyBorder="1" applyAlignment="1">
      <alignment horizontal="right" vertical="center"/>
    </xf>
    <xf numFmtId="166" fontId="57" fillId="0" borderId="19" xfId="1" applyNumberFormat="1" applyFont="1" applyBorder="1" applyAlignment="1" applyProtection="1">
      <alignment vertical="center"/>
      <protection locked="0"/>
    </xf>
    <xf numFmtId="166" fontId="57" fillId="0" borderId="21" xfId="1" applyNumberFormat="1" applyFont="1" applyBorder="1" applyAlignment="1" applyProtection="1">
      <alignment vertical="center"/>
      <protection locked="0"/>
    </xf>
    <xf numFmtId="166" fontId="55" fillId="0" borderId="21" xfId="0" applyNumberFormat="1" applyFont="1" applyBorder="1" applyAlignment="1">
      <alignment vertical="center"/>
    </xf>
    <xf numFmtId="166" fontId="58" fillId="0" borderId="21" xfId="1" applyNumberFormat="1" applyFont="1" applyBorder="1" applyAlignment="1">
      <alignment vertical="center"/>
    </xf>
    <xf numFmtId="0" fontId="59" fillId="0" borderId="21" xfId="0" applyFont="1" applyBorder="1"/>
    <xf numFmtId="166" fontId="54" fillId="0" borderId="19" xfId="1" applyNumberFormat="1" applyFont="1" applyBorder="1" applyAlignment="1">
      <alignment vertical="center"/>
    </xf>
    <xf numFmtId="166" fontId="57" fillId="0" borderId="54" xfId="1" applyNumberFormat="1" applyFont="1" applyBorder="1" applyAlignment="1" applyProtection="1">
      <alignment vertical="center"/>
      <protection locked="0"/>
    </xf>
    <xf numFmtId="0" fontId="20" fillId="0" borderId="21" xfId="1" applyFont="1" applyBorder="1" applyAlignment="1">
      <alignment horizontal="center"/>
    </xf>
    <xf numFmtId="166" fontId="54" fillId="0" borderId="20" xfId="1" applyNumberFormat="1" applyFont="1" applyBorder="1" applyAlignment="1"/>
    <xf numFmtId="166" fontId="54" fillId="0" borderId="69" xfId="1" applyNumberFormat="1" applyFont="1" applyBorder="1" applyAlignment="1">
      <alignment horizontal="right" vertical="center"/>
    </xf>
    <xf numFmtId="0" fontId="1" fillId="18" borderId="21" xfId="1" applyFill="1" applyBorder="1" applyAlignment="1">
      <alignment horizontal="center"/>
    </xf>
    <xf numFmtId="0" fontId="1" fillId="0" borderId="21" xfId="1" applyBorder="1" applyAlignment="1">
      <alignment horizontal="center" vertical="top"/>
    </xf>
    <xf numFmtId="0" fontId="22" fillId="0" borderId="66" xfId="1" applyFont="1" applyBorder="1" applyAlignment="1">
      <alignment horizontal="left" vertical="center"/>
    </xf>
    <xf numFmtId="0" fontId="22" fillId="0" borderId="67" xfId="1" applyFont="1" applyBorder="1" applyAlignment="1">
      <alignment horizontal="left" vertical="center"/>
    </xf>
    <xf numFmtId="0" fontId="22" fillId="0" borderId="68" xfId="1" applyFont="1" applyBorder="1" applyAlignment="1">
      <alignment horizontal="left" vertical="center"/>
    </xf>
    <xf numFmtId="0" fontId="17" fillId="0" borderId="0" xfId="1" applyFont="1" applyBorder="1" applyAlignment="1">
      <alignment horizontal="center"/>
    </xf>
    <xf numFmtId="0" fontId="17" fillId="0" borderId="16" xfId="1" applyFont="1" applyBorder="1" applyAlignment="1">
      <alignment horizontal="center"/>
    </xf>
    <xf numFmtId="0" fontId="1" fillId="18" borderId="0" xfId="1" applyFill="1" applyBorder="1" applyAlignment="1">
      <alignment horizontal="center"/>
    </xf>
    <xf numFmtId="0" fontId="1" fillId="18" borderId="22" xfId="1" applyFill="1" applyBorder="1" applyAlignment="1">
      <alignment horizontal="center"/>
    </xf>
    <xf numFmtId="0" fontId="1" fillId="18" borderId="27" xfId="1" applyFill="1" applyBorder="1" applyAlignment="1">
      <alignment horizontal="center"/>
    </xf>
    <xf numFmtId="3" fontId="27" fillId="20" borderId="28" xfId="1" applyNumberFormat="1" applyFont="1" applyFill="1" applyBorder="1" applyAlignment="1">
      <alignment horizontal="center"/>
    </xf>
    <xf numFmtId="3" fontId="27" fillId="20" borderId="56" xfId="1" applyNumberFormat="1" applyFont="1" applyFill="1" applyBorder="1" applyAlignment="1">
      <alignment horizontal="center"/>
    </xf>
    <xf numFmtId="3" fontId="27" fillId="20" borderId="29" xfId="1" applyNumberFormat="1" applyFont="1" applyFill="1" applyBorder="1" applyAlignment="1">
      <alignment horizontal="center"/>
    </xf>
    <xf numFmtId="166" fontId="54" fillId="0" borderId="71" xfId="1" applyNumberFormat="1" applyFont="1" applyBorder="1" applyAlignment="1"/>
    <xf numFmtId="0" fontId="17" fillId="0" borderId="70" xfId="1" applyFont="1" applyBorder="1" applyAlignment="1">
      <alignment horizontal="left" vertical="center"/>
    </xf>
    <xf numFmtId="0" fontId="17" fillId="0" borderId="0" xfId="1" applyFont="1" applyBorder="1" applyAlignment="1">
      <alignment horizontal="left" vertical="center"/>
    </xf>
    <xf numFmtId="0" fontId="29" fillId="0" borderId="0" xfId="48" applyFont="1" applyAlignment="1" applyProtection="1">
      <alignment horizontal="left"/>
    </xf>
    <xf numFmtId="0" fontId="1" fillId="0" borderId="0" xfId="48" applyFont="1"/>
    <xf numFmtId="0" fontId="34" fillId="0" borderId="0" xfId="0" applyFont="1"/>
    <xf numFmtId="0" fontId="30" fillId="0" borderId="0" xfId="48" applyFont="1" applyAlignment="1" applyProtection="1">
      <alignment horizontal="left"/>
    </xf>
    <xf numFmtId="0" fontId="1" fillId="0" borderId="56" xfId="48" applyFont="1" applyBorder="1"/>
    <xf numFmtId="49" fontId="29" fillId="0" borderId="0" xfId="48" applyNumberFormat="1" applyFont="1" applyAlignment="1" applyProtection="1">
      <alignment horizontal="right"/>
    </xf>
    <xf numFmtId="0" fontId="1" fillId="0" borderId="0" xfId="48" quotePrefix="1" applyFont="1"/>
    <xf numFmtId="0" fontId="1" fillId="0" borderId="32" xfId="48" applyFont="1" applyBorder="1"/>
    <xf numFmtId="0" fontId="1" fillId="0" borderId="34" xfId="48" applyFont="1" applyBorder="1"/>
    <xf numFmtId="0" fontId="29" fillId="0" borderId="0" xfId="48" applyFont="1" applyBorder="1"/>
    <xf numFmtId="7" fontId="29" fillId="0" borderId="0" xfId="48" applyNumberFormat="1" applyFont="1" applyProtection="1"/>
    <xf numFmtId="0" fontId="29" fillId="0" borderId="0" xfId="48" applyFont="1" applyBorder="1" applyAlignment="1" applyProtection="1">
      <alignment horizontal="left"/>
    </xf>
    <xf numFmtId="0" fontId="17" fillId="0" borderId="0" xfId="48" applyFont="1" applyAlignment="1">
      <alignment horizontal="right"/>
    </xf>
    <xf numFmtId="0" fontId="17" fillId="0" borderId="0" xfId="48" applyFont="1" applyAlignment="1">
      <alignment horizontal="center"/>
    </xf>
    <xf numFmtId="0" fontId="1" fillId="0" borderId="0" xfId="48" applyFont="1" applyAlignment="1" applyProtection="1">
      <alignment horizontal="left"/>
    </xf>
    <xf numFmtId="0" fontId="1" fillId="0" borderId="0" xfId="48" applyFont="1" applyBorder="1" applyAlignment="1" applyProtection="1">
      <alignment horizontal="fill"/>
    </xf>
    <xf numFmtId="49" fontId="1" fillId="0" borderId="0" xfId="48" applyNumberFormat="1" applyFont="1" applyAlignment="1" applyProtection="1">
      <alignment horizontal="left"/>
    </xf>
    <xf numFmtId="49" fontId="1" fillId="0" borderId="0" xfId="48" applyNumberFormat="1" applyFont="1"/>
    <xf numFmtId="49" fontId="1" fillId="0" borderId="0" xfId="48" applyNumberFormat="1" applyFont="1" applyBorder="1" applyAlignment="1" applyProtection="1">
      <alignment horizontal="fill"/>
    </xf>
    <xf numFmtId="49" fontId="53" fillId="0" borderId="0" xfId="48" quotePrefix="1" applyNumberFormat="1" applyFont="1" applyAlignment="1">
      <alignment horizontal="left"/>
    </xf>
    <xf numFmtId="49" fontId="53" fillId="0" borderId="0" xfId="48" applyNumberFormat="1" applyFont="1" applyAlignment="1" applyProtection="1">
      <alignment horizontal="center"/>
    </xf>
    <xf numFmtId="0" fontId="53" fillId="0" borderId="0" xfId="48" applyFont="1" applyAlignment="1" applyProtection="1">
      <alignment horizontal="center"/>
    </xf>
    <xf numFmtId="3" fontId="53" fillId="0" borderId="0" xfId="48" applyNumberFormat="1" applyFont="1" applyAlignment="1">
      <alignment horizontal="center"/>
    </xf>
    <xf numFmtId="49" fontId="53" fillId="0" borderId="0" xfId="48" quotePrefix="1" applyNumberFormat="1" applyFont="1" applyAlignment="1" applyProtection="1">
      <alignment horizontal="left"/>
    </xf>
    <xf numFmtId="49" fontId="53" fillId="0" borderId="0" xfId="48" applyNumberFormat="1" applyFont="1" applyAlignment="1">
      <alignment horizontal="center"/>
    </xf>
    <xf numFmtId="0" fontId="53" fillId="0" borderId="0" xfId="48" applyFont="1" applyAlignment="1">
      <alignment horizontal="center"/>
    </xf>
    <xf numFmtId="49" fontId="53" fillId="0" borderId="0" xfId="48" applyNumberFormat="1" applyFont="1" applyAlignment="1">
      <alignment horizontal="left"/>
    </xf>
    <xf numFmtId="49" fontId="53" fillId="0" borderId="0" xfId="48" applyNumberFormat="1" applyFont="1" applyAlignment="1" applyProtection="1">
      <alignment horizontal="left"/>
    </xf>
    <xf numFmtId="49" fontId="53" fillId="0" borderId="0" xfId="48" applyNumberFormat="1" applyFont="1" applyBorder="1" applyAlignment="1" applyProtection="1">
      <alignment horizontal="left"/>
    </xf>
    <xf numFmtId="49" fontId="53" fillId="0" borderId="0" xfId="48" applyNumberFormat="1" applyFont="1" applyBorder="1" applyAlignment="1" applyProtection="1">
      <alignment horizontal="center"/>
    </xf>
    <xf numFmtId="0" fontId="53" fillId="0" borderId="0" xfId="48" applyFont="1" applyBorder="1" applyAlignment="1" applyProtection="1">
      <alignment horizontal="center"/>
    </xf>
    <xf numFmtId="3" fontId="53" fillId="0" borderId="0" xfId="48" applyNumberFormat="1" applyFont="1" applyBorder="1" applyAlignment="1" applyProtection="1">
      <alignment horizontal="center"/>
    </xf>
    <xf numFmtId="3" fontId="53" fillId="0" borderId="34" xfId="48" applyNumberFormat="1" applyFont="1" applyBorder="1" applyAlignment="1">
      <alignment horizontal="center"/>
    </xf>
    <xf numFmtId="166" fontId="60" fillId="0" borderId="35" xfId="48" applyNumberFormat="1" applyFont="1" applyBorder="1"/>
    <xf numFmtId="0" fontId="19" fillId="0" borderId="0" xfId="48" applyFont="1" applyProtection="1">
      <protection locked="0"/>
    </xf>
    <xf numFmtId="0" fontId="17" fillId="0" borderId="0" xfId="48" applyFont="1" applyAlignment="1" applyProtection="1">
      <alignment horizontal="left"/>
    </xf>
    <xf numFmtId="0" fontId="19" fillId="0" borderId="0" xfId="48" applyFont="1" applyBorder="1" applyProtection="1">
      <protection locked="0"/>
    </xf>
    <xf numFmtId="0" fontId="1" fillId="0" borderId="0" xfId="48" applyFont="1" applyBorder="1"/>
    <xf numFmtId="0" fontId="1" fillId="0" borderId="0" xfId="48" applyFont="1" applyAlignment="1" applyProtection="1">
      <alignment horizontal="fill"/>
    </xf>
    <xf numFmtId="0" fontId="61" fillId="0" borderId="0" xfId="48" applyFont="1" applyAlignment="1" applyProtection="1">
      <alignment horizontal="center" vertical="center"/>
      <protection locked="0"/>
    </xf>
    <xf numFmtId="0" fontId="61" fillId="0" borderId="0" xfId="48" applyFont="1" applyAlignment="1" applyProtection="1">
      <alignment vertical="center"/>
      <protection locked="0"/>
    </xf>
    <xf numFmtId="0" fontId="33" fillId="0" borderId="0" xfId="48" applyFont="1" applyAlignment="1">
      <alignment vertical="center"/>
    </xf>
    <xf numFmtId="0" fontId="33" fillId="0" borderId="0" xfId="48" applyFont="1" applyAlignment="1" applyProtection="1">
      <alignment horizontal="center" vertical="center"/>
    </xf>
    <xf numFmtId="0" fontId="34" fillId="0" borderId="0" xfId="0" applyFont="1" applyAlignment="1">
      <alignment vertical="center"/>
    </xf>
    <xf numFmtId="0" fontId="0" fillId="0" borderId="0" xfId="0" applyAlignment="1">
      <alignment vertical="center"/>
    </xf>
    <xf numFmtId="0" fontId="51" fillId="0" borderId="0" xfId="48" applyFont="1" applyAlignment="1" applyProtection="1">
      <alignment horizontal="left" vertical="center"/>
    </xf>
    <xf numFmtId="166" fontId="61" fillId="0" borderId="32" xfId="48" applyNumberFormat="1" applyFont="1" applyBorder="1" applyAlignment="1" applyProtection="1">
      <alignment horizontal="center" vertical="center"/>
      <protection locked="0"/>
    </xf>
    <xf numFmtId="7" fontId="61" fillId="0" borderId="0" xfId="48" applyNumberFormat="1" applyFont="1" applyAlignment="1" applyProtection="1">
      <alignment vertical="center"/>
      <protection locked="0"/>
    </xf>
    <xf numFmtId="10" fontId="61" fillId="0" borderId="0" xfId="48" applyNumberFormat="1" applyFont="1" applyAlignment="1" applyProtection="1">
      <alignment vertical="center"/>
      <protection locked="0"/>
    </xf>
    <xf numFmtId="166" fontId="33" fillId="0" borderId="0" xfId="48" applyNumberFormat="1" applyFont="1" applyAlignment="1">
      <alignment horizontal="center" vertical="center"/>
    </xf>
    <xf numFmtId="0" fontId="33" fillId="0" borderId="0" xfId="48" applyFont="1" applyBorder="1" applyAlignment="1">
      <alignment vertical="center"/>
    </xf>
    <xf numFmtId="0" fontId="33" fillId="0" borderId="0" xfId="48" applyFont="1" applyAlignment="1">
      <alignment horizontal="center" vertical="center"/>
    </xf>
    <xf numFmtId="7" fontId="61" fillId="0" borderId="0" xfId="48" applyNumberFormat="1" applyFont="1" applyBorder="1" applyAlignment="1" applyProtection="1">
      <alignment vertical="center"/>
      <protection locked="0"/>
    </xf>
    <xf numFmtId="10" fontId="61" fillId="0" borderId="0" xfId="48" applyNumberFormat="1" applyFont="1" applyBorder="1" applyAlignment="1" applyProtection="1">
      <alignment vertical="center"/>
      <protection locked="0"/>
    </xf>
    <xf numFmtId="166" fontId="61" fillId="0" borderId="0" xfId="48" applyNumberFormat="1" applyFont="1" applyBorder="1" applyAlignment="1" applyProtection="1">
      <alignment horizontal="center" vertical="center"/>
      <protection locked="0"/>
    </xf>
    <xf numFmtId="166" fontId="33" fillId="0" borderId="0" xfId="48" applyNumberFormat="1" applyFont="1" applyBorder="1" applyAlignment="1" applyProtection="1">
      <alignment horizontal="center" vertical="center"/>
    </xf>
    <xf numFmtId="0" fontId="51" fillId="0" borderId="0" xfId="48" applyFont="1" applyAlignment="1" applyProtection="1">
      <alignment vertical="center"/>
    </xf>
    <xf numFmtId="0" fontId="33" fillId="0" borderId="0" xfId="48" applyFont="1" applyAlignment="1" applyProtection="1">
      <alignment vertical="center"/>
    </xf>
    <xf numFmtId="166" fontId="33" fillId="0" borderId="0" xfId="48" applyNumberFormat="1" applyFont="1" applyAlignment="1" applyProtection="1">
      <alignment horizontal="center" vertical="center"/>
    </xf>
    <xf numFmtId="7" fontId="33" fillId="0" borderId="0" xfId="48" applyNumberFormat="1" applyFont="1" applyAlignment="1" applyProtection="1">
      <alignment vertical="center"/>
    </xf>
    <xf numFmtId="10" fontId="61" fillId="0" borderId="0" xfId="48" applyNumberFormat="1" applyFont="1" applyAlignment="1" applyProtection="1">
      <alignment horizontal="center" vertical="center"/>
      <protection locked="0"/>
    </xf>
    <xf numFmtId="0" fontId="50" fillId="0" borderId="0" xfId="48" applyFont="1" applyBorder="1" applyAlignment="1" applyProtection="1">
      <alignment vertical="center"/>
      <protection locked="0"/>
    </xf>
    <xf numFmtId="0" fontId="33" fillId="0" borderId="0" xfId="48" applyFont="1" applyBorder="1" applyAlignment="1" applyProtection="1">
      <alignment horizontal="fill" vertical="center"/>
    </xf>
    <xf numFmtId="165" fontId="61" fillId="0" borderId="34" xfId="48" applyNumberFormat="1" applyFont="1" applyBorder="1" applyAlignment="1" applyProtection="1">
      <alignment vertical="center"/>
      <protection locked="0"/>
    </xf>
    <xf numFmtId="7" fontId="33" fillId="0" borderId="0" xfId="48" applyNumberFormat="1" applyFont="1" applyAlignment="1" applyProtection="1">
      <alignment horizontal="left" vertical="center"/>
    </xf>
    <xf numFmtId="10" fontId="33" fillId="0" borderId="0" xfId="48" applyNumberFormat="1" applyFont="1" applyAlignment="1" applyProtection="1">
      <alignment horizontal="left" vertical="center"/>
    </xf>
    <xf numFmtId="0" fontId="61" fillId="0" borderId="0" xfId="48" applyFont="1" applyBorder="1" applyAlignment="1" applyProtection="1">
      <alignment vertical="center"/>
      <protection locked="0"/>
    </xf>
    <xf numFmtId="0" fontId="33" fillId="0" borderId="0" xfId="48" applyFont="1" applyAlignment="1" applyProtection="1">
      <alignment horizontal="fill" vertical="center"/>
    </xf>
    <xf numFmtId="166" fontId="33" fillId="0" borderId="0" xfId="48" applyNumberFormat="1" applyFont="1" applyAlignment="1" applyProtection="1">
      <alignment horizontal="left" vertical="center"/>
    </xf>
    <xf numFmtId="166" fontId="33" fillId="0" borderId="0" xfId="48" applyNumberFormat="1" applyFont="1" applyAlignment="1" applyProtection="1">
      <alignment vertical="center"/>
    </xf>
    <xf numFmtId="0" fontId="33" fillId="0" borderId="0" xfId="48" applyFont="1" applyAlignment="1" applyProtection="1">
      <alignment horizontal="left" vertical="center"/>
    </xf>
    <xf numFmtId="166" fontId="51" fillId="0" borderId="0" xfId="48" applyNumberFormat="1" applyFont="1" applyAlignment="1" applyProtection="1">
      <alignment horizontal="center" vertical="center"/>
    </xf>
    <xf numFmtId="0" fontId="51" fillId="0" borderId="0" xfId="48" applyFont="1" applyAlignment="1">
      <alignment vertical="center"/>
    </xf>
    <xf numFmtId="7" fontId="61" fillId="0" borderId="0" xfId="48" applyNumberFormat="1" applyFont="1" applyAlignment="1" applyProtection="1">
      <alignment horizontal="center" vertical="center"/>
      <protection locked="0"/>
    </xf>
    <xf numFmtId="166" fontId="61" fillId="0" borderId="33" xfId="48" applyNumberFormat="1" applyFont="1" applyBorder="1" applyAlignment="1" applyProtection="1">
      <alignment horizontal="center" vertical="center"/>
      <protection locked="0"/>
    </xf>
    <xf numFmtId="7" fontId="33" fillId="0" borderId="0" xfId="48" applyNumberFormat="1" applyFont="1" applyAlignment="1" applyProtection="1">
      <alignment horizontal="center" vertical="center"/>
    </xf>
    <xf numFmtId="166" fontId="61" fillId="0" borderId="37" xfId="48" applyNumberFormat="1" applyFont="1" applyBorder="1" applyAlignment="1" applyProtection="1">
      <alignment horizontal="center" vertical="center"/>
      <protection locked="0"/>
    </xf>
    <xf numFmtId="166" fontId="33" fillId="0" borderId="0" xfId="48" applyNumberFormat="1" applyFont="1" applyAlignment="1">
      <alignment vertical="center"/>
    </xf>
    <xf numFmtId="10" fontId="33" fillId="0" borderId="0" xfId="48" applyNumberFormat="1" applyFont="1" applyAlignment="1" applyProtection="1">
      <alignment horizontal="center" vertical="center"/>
    </xf>
    <xf numFmtId="166" fontId="61" fillId="0" borderId="0" xfId="48" applyNumberFormat="1" applyFont="1" applyAlignment="1" applyProtection="1">
      <alignment vertical="center"/>
      <protection locked="0"/>
    </xf>
    <xf numFmtId="166" fontId="51" fillId="0" borderId="0" xfId="48" applyNumberFormat="1" applyFont="1" applyAlignment="1" applyProtection="1">
      <alignment horizontal="left" vertical="center"/>
    </xf>
    <xf numFmtId="10" fontId="33" fillId="0" borderId="32" xfId="48" applyNumberFormat="1" applyFont="1" applyBorder="1" applyAlignment="1">
      <alignment vertical="center"/>
    </xf>
    <xf numFmtId="10" fontId="33" fillId="0" borderId="33" xfId="48" applyNumberFormat="1" applyFont="1" applyBorder="1" applyAlignment="1">
      <alignment vertical="center"/>
    </xf>
    <xf numFmtId="10" fontId="51" fillId="0" borderId="0" xfId="48" applyNumberFormat="1" applyFont="1" applyAlignment="1" applyProtection="1">
      <alignment horizontal="right" vertical="center"/>
    </xf>
    <xf numFmtId="10" fontId="33" fillId="0" borderId="0" xfId="48" applyNumberFormat="1" applyFont="1" applyAlignment="1" applyProtection="1">
      <alignment horizontal="right" vertical="center"/>
    </xf>
    <xf numFmtId="49" fontId="43" fillId="0" borderId="0" xfId="48" quotePrefix="1" applyNumberFormat="1" applyFont="1" applyBorder="1" applyAlignment="1" applyProtection="1">
      <alignment horizontal="left"/>
      <protection locked="0"/>
    </xf>
    <xf numFmtId="3" fontId="61" fillId="0" borderId="34" xfId="48" applyNumberFormat="1" applyFont="1" applyBorder="1" applyAlignment="1" applyProtection="1">
      <alignment vertical="center"/>
      <protection locked="0"/>
    </xf>
    <xf numFmtId="165" fontId="62" fillId="0" borderId="34" xfId="48" applyNumberFormat="1" applyFont="1" applyBorder="1" applyAlignment="1" applyProtection="1">
      <alignment vertical="center"/>
    </xf>
    <xf numFmtId="165" fontId="62" fillId="0" borderId="34" xfId="48" applyNumberFormat="1" applyFont="1" applyBorder="1" applyAlignment="1" applyProtection="1">
      <alignment vertical="center"/>
      <protection locked="0"/>
    </xf>
    <xf numFmtId="3" fontId="62" fillId="0" borderId="34" xfId="48" applyNumberFormat="1" applyFont="1" applyBorder="1" applyAlignment="1" applyProtection="1">
      <alignment vertical="center"/>
      <protection locked="0"/>
    </xf>
    <xf numFmtId="0" fontId="62" fillId="0" borderId="0" xfId="48" applyFont="1" applyAlignment="1" applyProtection="1">
      <alignment vertical="center"/>
      <protection locked="0"/>
    </xf>
    <xf numFmtId="3" fontId="62" fillId="0" borderId="34" xfId="48" applyNumberFormat="1" applyFont="1" applyBorder="1" applyAlignment="1" applyProtection="1">
      <alignment vertical="center"/>
    </xf>
    <xf numFmtId="0" fontId="62" fillId="0" borderId="0" xfId="48" applyFont="1" applyAlignment="1" applyProtection="1">
      <alignment vertical="center"/>
    </xf>
    <xf numFmtId="3" fontId="62" fillId="0" borderId="30" xfId="48" applyNumberFormat="1" applyFont="1" applyBorder="1" applyAlignment="1" applyProtection="1">
      <alignment vertical="center"/>
      <protection locked="0"/>
    </xf>
    <xf numFmtId="3" fontId="62" fillId="0" borderId="30" xfId="48" applyNumberFormat="1" applyFont="1" applyBorder="1" applyAlignment="1" applyProtection="1">
      <alignment vertical="center"/>
    </xf>
    <xf numFmtId="3" fontId="62" fillId="0" borderId="34" xfId="48" applyNumberFormat="1" applyFont="1" applyBorder="1" applyAlignment="1" applyProtection="1">
      <alignment horizontal="right" vertical="center"/>
    </xf>
    <xf numFmtId="49" fontId="62" fillId="0" borderId="34" xfId="48" applyNumberFormat="1" applyFont="1" applyBorder="1" applyAlignment="1" applyProtection="1">
      <alignment vertical="center"/>
      <protection locked="0"/>
    </xf>
    <xf numFmtId="49" fontId="62" fillId="0" borderId="30" xfId="48" applyNumberFormat="1" applyFont="1" applyBorder="1" applyAlignment="1" applyProtection="1">
      <alignment vertical="center"/>
      <protection locked="0"/>
    </xf>
    <xf numFmtId="49" fontId="62" fillId="0" borderId="34" xfId="48" applyNumberFormat="1" applyFont="1" applyBorder="1" applyAlignment="1" applyProtection="1">
      <alignment vertical="center"/>
    </xf>
    <xf numFmtId="49" fontId="61" fillId="0" borderId="0" xfId="48" applyNumberFormat="1" applyFont="1" applyAlignment="1" applyProtection="1">
      <alignment vertical="center"/>
      <protection locked="0"/>
    </xf>
    <xf numFmtId="49" fontId="51" fillId="0" borderId="0" xfId="48" applyNumberFormat="1" applyFont="1" applyAlignment="1" applyProtection="1">
      <alignment vertical="center"/>
    </xf>
    <xf numFmtId="49" fontId="33" fillId="0" borderId="0" xfId="48" applyNumberFormat="1" applyFont="1" applyAlignment="1" applyProtection="1">
      <alignment vertical="center"/>
    </xf>
    <xf numFmtId="49" fontId="61" fillId="0" borderId="34" xfId="48" applyNumberFormat="1" applyFont="1" applyBorder="1" applyAlignment="1" applyProtection="1">
      <alignment vertical="center"/>
      <protection locked="0"/>
    </xf>
    <xf numFmtId="49" fontId="61" fillId="0" borderId="34" xfId="48" applyNumberFormat="1" applyFont="1" applyBorder="1" applyAlignment="1" applyProtection="1">
      <alignment horizontal="left" vertical="center"/>
      <protection locked="0"/>
    </xf>
    <xf numFmtId="166" fontId="63" fillId="0" borderId="32" xfId="48" applyNumberFormat="1" applyFont="1" applyBorder="1" applyAlignment="1" applyProtection="1">
      <alignment horizontal="center" vertical="center"/>
    </xf>
    <xf numFmtId="166" fontId="63" fillId="0" borderId="0" xfId="48" applyNumberFormat="1" applyFont="1" applyAlignment="1" applyProtection="1">
      <alignment horizontal="center" vertical="center"/>
    </xf>
    <xf numFmtId="166" fontId="63" fillId="0" borderId="0" xfId="48" applyNumberFormat="1" applyFont="1" applyBorder="1" applyAlignment="1" applyProtection="1">
      <alignment horizontal="center" vertical="center"/>
    </xf>
    <xf numFmtId="166" fontId="64" fillId="0" borderId="36" xfId="48" applyNumberFormat="1" applyFont="1" applyBorder="1" applyAlignment="1" applyProtection="1">
      <alignment horizontal="center" vertical="center"/>
    </xf>
    <xf numFmtId="166" fontId="63" fillId="0" borderId="0" xfId="48" applyNumberFormat="1" applyFont="1" applyAlignment="1" applyProtection="1">
      <alignment horizontal="left" vertical="center"/>
    </xf>
    <xf numFmtId="166" fontId="63" fillId="0" borderId="0" xfId="48" applyNumberFormat="1" applyFont="1" applyAlignment="1" applyProtection="1">
      <alignment vertical="center"/>
    </xf>
    <xf numFmtId="166" fontId="63" fillId="0" borderId="37" xfId="48" applyNumberFormat="1" applyFont="1" applyBorder="1" applyAlignment="1" applyProtection="1">
      <alignment horizontal="center" vertical="center"/>
    </xf>
    <xf numFmtId="166" fontId="64" fillId="0" borderId="0" xfId="48" applyNumberFormat="1" applyFont="1" applyAlignment="1" applyProtection="1">
      <alignment horizontal="center" vertical="center"/>
    </xf>
    <xf numFmtId="166" fontId="63" fillId="0" borderId="33" xfId="48" applyNumberFormat="1" applyFont="1" applyBorder="1" applyAlignment="1" applyProtection="1">
      <alignment horizontal="center" vertical="center"/>
    </xf>
    <xf numFmtId="166" fontId="64" fillId="0" borderId="0" xfId="48" applyNumberFormat="1" applyFont="1" applyBorder="1" applyAlignment="1" applyProtection="1">
      <alignment horizontal="center" vertical="center"/>
    </xf>
    <xf numFmtId="166" fontId="64" fillId="0" borderId="35" xfId="48" applyNumberFormat="1" applyFont="1" applyBorder="1" applyAlignment="1" applyProtection="1">
      <alignment horizontal="center" vertical="center"/>
    </xf>
    <xf numFmtId="166" fontId="51" fillId="0" borderId="0" xfId="48" applyNumberFormat="1" applyFont="1" applyAlignment="1" applyProtection="1">
      <alignment horizontal="center" vertical="center"/>
      <protection locked="0"/>
    </xf>
    <xf numFmtId="7" fontId="33" fillId="0" borderId="0" xfId="48" applyNumberFormat="1" applyFont="1" applyAlignment="1" applyProtection="1">
      <alignment horizontal="center" vertical="center"/>
      <protection locked="0"/>
    </xf>
    <xf numFmtId="10" fontId="51" fillId="0" borderId="0" xfId="48" applyNumberFormat="1" applyFont="1" applyAlignment="1" applyProtection="1">
      <alignment horizontal="center" vertical="center"/>
      <protection locked="0"/>
    </xf>
    <xf numFmtId="9" fontId="33" fillId="0" borderId="32" xfId="48" applyNumberFormat="1" applyFont="1" applyBorder="1" applyAlignment="1" applyProtection="1">
      <alignment horizontal="center" vertical="center"/>
      <protection locked="0"/>
    </xf>
    <xf numFmtId="9" fontId="33" fillId="0" borderId="0" xfId="48" applyNumberFormat="1" applyFont="1" applyBorder="1" applyAlignment="1" applyProtection="1">
      <alignment horizontal="center" vertical="center"/>
      <protection locked="0"/>
    </xf>
    <xf numFmtId="10" fontId="33" fillId="0" borderId="0" xfId="48" applyNumberFormat="1" applyFont="1" applyAlignment="1" applyProtection="1">
      <alignment horizontal="center" vertical="center"/>
      <protection locked="0"/>
    </xf>
    <xf numFmtId="9" fontId="33" fillId="0" borderId="33" xfId="48" applyNumberFormat="1" applyFont="1" applyBorder="1" applyAlignment="1" applyProtection="1">
      <alignment horizontal="center" vertical="center"/>
      <protection locked="0"/>
    </xf>
    <xf numFmtId="10" fontId="33" fillId="0" borderId="0" xfId="48" applyNumberFormat="1" applyFont="1" applyAlignment="1" applyProtection="1">
      <alignment vertical="center"/>
      <protection locked="0"/>
    </xf>
    <xf numFmtId="7" fontId="33" fillId="0" borderId="0" xfId="48" applyNumberFormat="1" applyFont="1" applyAlignment="1" applyProtection="1">
      <alignment vertical="center"/>
      <protection locked="0"/>
    </xf>
    <xf numFmtId="10" fontId="33" fillId="0" borderId="0" xfId="48" applyNumberFormat="1" applyFont="1" applyBorder="1" applyAlignment="1" applyProtection="1">
      <alignment vertical="center"/>
      <protection locked="0"/>
    </xf>
    <xf numFmtId="7" fontId="33" fillId="0" borderId="0" xfId="48" applyNumberFormat="1" applyFont="1" applyBorder="1" applyAlignment="1" applyProtection="1">
      <alignment horizontal="center" vertical="center"/>
      <protection locked="0"/>
    </xf>
    <xf numFmtId="9" fontId="33" fillId="0" borderId="36" xfId="48" applyNumberFormat="1" applyFont="1" applyBorder="1" applyAlignment="1" applyProtection="1">
      <alignment horizontal="center" vertical="center"/>
      <protection locked="0"/>
    </xf>
    <xf numFmtId="166" fontId="63" fillId="0" borderId="0" xfId="48" applyNumberFormat="1" applyFont="1" applyAlignment="1">
      <alignment horizontal="center" vertical="center"/>
    </xf>
    <xf numFmtId="166" fontId="63" fillId="0" borderId="38" xfId="48" applyNumberFormat="1" applyFont="1" applyBorder="1" applyAlignment="1" applyProtection="1">
      <alignment horizontal="center" vertical="center"/>
    </xf>
    <xf numFmtId="166" fontId="63" fillId="0" borderId="36" xfId="48" applyNumberFormat="1" applyFont="1" applyBorder="1" applyAlignment="1" applyProtection="1">
      <alignment horizontal="center" vertical="center"/>
    </xf>
    <xf numFmtId="166" fontId="63" fillId="0" borderId="0" xfId="48" applyNumberFormat="1" applyFont="1" applyAlignment="1">
      <alignment vertical="center"/>
    </xf>
    <xf numFmtId="0" fontId="51" fillId="0" borderId="0" xfId="48" applyFont="1" applyAlignment="1" applyProtection="1">
      <alignment horizontal="center" vertical="center"/>
    </xf>
    <xf numFmtId="0" fontId="61" fillId="0" borderId="74" xfId="48" applyFont="1" applyBorder="1" applyAlignment="1" applyProtection="1">
      <alignment vertical="center"/>
      <protection locked="0"/>
    </xf>
    <xf numFmtId="49" fontId="61" fillId="0" borderId="74" xfId="48" applyNumberFormat="1" applyFont="1" applyBorder="1" applyAlignment="1" applyProtection="1">
      <alignment vertical="center"/>
      <protection locked="0"/>
    </xf>
    <xf numFmtId="166" fontId="61" fillId="0" borderId="36" xfId="48" applyNumberFormat="1" applyFont="1" applyBorder="1" applyAlignment="1" applyProtection="1">
      <alignment horizontal="center" vertical="center"/>
      <protection locked="0"/>
    </xf>
    <xf numFmtId="166" fontId="63" fillId="0" borderId="61" xfId="48" applyNumberFormat="1" applyFont="1" applyBorder="1" applyAlignment="1" applyProtection="1">
      <alignment horizontal="center" vertical="center"/>
    </xf>
    <xf numFmtId="166" fontId="62" fillId="0" borderId="33" xfId="48" applyNumberFormat="1" applyFont="1" applyBorder="1" applyAlignment="1" applyProtection="1">
      <alignment horizontal="center" vertical="center"/>
      <protection locked="0"/>
    </xf>
    <xf numFmtId="6" fontId="60" fillId="0" borderId="33" xfId="48" applyNumberFormat="1" applyFont="1" applyBorder="1" applyAlignment="1" applyProtection="1">
      <alignment horizontal="center" vertical="center"/>
    </xf>
    <xf numFmtId="10" fontId="57" fillId="0" borderId="0" xfId="47" applyNumberFormat="1" applyFont="1" applyAlignment="1" applyProtection="1">
      <alignment horizontal="center" vertical="center"/>
    </xf>
    <xf numFmtId="0" fontId="17" fillId="0" borderId="0" xfId="48" applyFont="1" applyAlignment="1" applyProtection="1">
      <alignment horizontal="left" vertical="center"/>
    </xf>
    <xf numFmtId="0" fontId="33" fillId="20" borderId="0" xfId="48" applyFont="1" applyFill="1" applyAlignment="1">
      <alignment vertical="center"/>
    </xf>
    <xf numFmtId="166" fontId="61" fillId="20" borderId="0" xfId="48" applyNumberFormat="1" applyFont="1" applyFill="1" applyAlignment="1" applyProtection="1">
      <alignment vertical="center"/>
      <protection locked="0"/>
    </xf>
    <xf numFmtId="7" fontId="61" fillId="20" borderId="0" xfId="48" applyNumberFormat="1" applyFont="1" applyFill="1" applyAlignment="1" applyProtection="1">
      <alignment vertical="center"/>
      <protection locked="0"/>
    </xf>
    <xf numFmtId="10" fontId="61" fillId="20" borderId="0" xfId="48" applyNumberFormat="1" applyFont="1" applyFill="1" applyAlignment="1" applyProtection="1">
      <alignment vertical="center"/>
      <protection locked="0"/>
    </xf>
    <xf numFmtId="166" fontId="33" fillId="20" borderId="0" xfId="48" applyNumberFormat="1" applyFont="1" applyFill="1" applyAlignment="1" applyProtection="1">
      <alignment vertical="center"/>
    </xf>
    <xf numFmtId="3" fontId="62" fillId="0" borderId="34" xfId="48" applyNumberFormat="1" applyFont="1" applyBorder="1" applyAlignment="1" applyProtection="1">
      <alignment horizontal="center" vertical="center"/>
      <protection locked="0"/>
    </xf>
    <xf numFmtId="165" fontId="62" fillId="0" borderId="34" xfId="48" applyNumberFormat="1" applyFont="1" applyBorder="1" applyAlignment="1" applyProtection="1">
      <alignment horizontal="center" vertical="center"/>
      <protection locked="0"/>
    </xf>
    <xf numFmtId="3" fontId="62" fillId="0" borderId="34" xfId="48" applyNumberFormat="1" applyFont="1" applyBorder="1" applyAlignment="1" applyProtection="1">
      <alignment horizontal="center" vertical="center"/>
    </xf>
    <xf numFmtId="165" fontId="62" fillId="0" borderId="34" xfId="48" applyNumberFormat="1" applyFont="1" applyBorder="1" applyAlignment="1" applyProtection="1">
      <alignment horizontal="center" vertical="center"/>
    </xf>
    <xf numFmtId="3" fontId="62" fillId="0" borderId="30" xfId="48" applyNumberFormat="1" applyFont="1" applyBorder="1" applyAlignment="1" applyProtection="1">
      <alignment horizontal="center" vertical="center"/>
      <protection locked="0"/>
    </xf>
    <xf numFmtId="165" fontId="62" fillId="0" borderId="30" xfId="48" applyNumberFormat="1" applyFont="1" applyBorder="1" applyAlignment="1" applyProtection="1">
      <alignment horizontal="center" vertical="center"/>
      <protection locked="0"/>
    </xf>
    <xf numFmtId="0" fontId="20" fillId="0" borderId="8" xfId="1" applyFont="1" applyBorder="1" applyAlignment="1">
      <alignment horizontal="center"/>
    </xf>
    <xf numFmtId="0" fontId="1" fillId="18" borderId="8" xfId="1" applyFont="1" applyFill="1" applyBorder="1" applyAlignment="1">
      <alignment horizontal="right"/>
    </xf>
    <xf numFmtId="0" fontId="1" fillId="0" borderId="8" xfId="1" applyFont="1" applyBorder="1" applyAlignment="1">
      <alignment horizontal="center"/>
    </xf>
    <xf numFmtId="0" fontId="29" fillId="0" borderId="0" xfId="1" applyFont="1" applyAlignment="1">
      <alignment vertical="top"/>
    </xf>
    <xf numFmtId="3" fontId="61" fillId="0" borderId="0" xfId="48" applyNumberFormat="1" applyFont="1" applyBorder="1" applyAlignment="1" applyProtection="1">
      <alignment vertical="center"/>
      <protection locked="0"/>
    </xf>
    <xf numFmtId="49" fontId="61" fillId="0" borderId="0" xfId="48" applyNumberFormat="1" applyFont="1" applyBorder="1" applyAlignment="1" applyProtection="1">
      <alignment vertical="center"/>
      <protection locked="0"/>
    </xf>
    <xf numFmtId="3" fontId="61" fillId="0" borderId="74" xfId="48" applyNumberFormat="1" applyFont="1" applyBorder="1" applyAlignment="1" applyProtection="1">
      <alignment vertical="center"/>
      <protection locked="0"/>
    </xf>
    <xf numFmtId="49" fontId="61" fillId="0" borderId="74" xfId="48" applyNumberFormat="1" applyFont="1" applyBorder="1" applyAlignment="1" applyProtection="1">
      <alignment horizontal="left" vertical="center"/>
      <protection locked="0"/>
    </xf>
    <xf numFmtId="165" fontId="61" fillId="0" borderId="74" xfId="48" applyNumberFormat="1" applyFont="1" applyBorder="1" applyAlignment="1" applyProtection="1">
      <alignment vertical="center"/>
      <protection locked="0"/>
    </xf>
    <xf numFmtId="165" fontId="51" fillId="0" borderId="0" xfId="48" applyNumberFormat="1" applyFont="1" applyBorder="1" applyAlignment="1" applyProtection="1">
      <alignment horizontal="center" vertical="center"/>
      <protection locked="0"/>
    </xf>
    <xf numFmtId="0" fontId="65" fillId="0" borderId="0" xfId="0" applyFont="1" applyAlignment="1">
      <alignment horizontal="center" vertical="center"/>
    </xf>
    <xf numFmtId="165" fontId="52" fillId="0" borderId="56" xfId="0" applyNumberFormat="1" applyFont="1" applyBorder="1" applyAlignment="1">
      <alignment horizontal="center" vertical="center"/>
    </xf>
    <xf numFmtId="49" fontId="51" fillId="0" borderId="0" xfId="48" applyNumberFormat="1" applyFont="1" applyAlignment="1" applyProtection="1">
      <alignment horizontal="left" vertical="center"/>
    </xf>
    <xf numFmtId="0" fontId="1" fillId="0" borderId="32" xfId="48" applyFont="1" applyBorder="1" applyAlignment="1" applyProtection="1">
      <alignment horizontal="fill"/>
    </xf>
    <xf numFmtId="0" fontId="66" fillId="0" borderId="0" xfId="0" applyFont="1"/>
    <xf numFmtId="0" fontId="1" fillId="0" borderId="0" xfId="48" applyFont="1" applyAlignment="1" applyProtection="1">
      <alignment horizontal="center"/>
    </xf>
    <xf numFmtId="0" fontId="1" fillId="0" borderId="34" xfId="48" applyFont="1" applyBorder="1" applyAlignment="1" applyProtection="1">
      <alignment horizontal="fill"/>
    </xf>
    <xf numFmtId="49" fontId="67" fillId="0" borderId="0" xfId="0" applyNumberFormat="1" applyFont="1"/>
    <xf numFmtId="0" fontId="1" fillId="0" borderId="35" xfId="48" applyFont="1" applyBorder="1"/>
    <xf numFmtId="0" fontId="1" fillId="0" borderId="35" xfId="48" applyFont="1" applyBorder="1" applyAlignment="1">
      <alignment horizontal="right"/>
    </xf>
    <xf numFmtId="0" fontId="17" fillId="0" borderId="35" xfId="48" applyFont="1" applyBorder="1" applyAlignment="1" applyProtection="1">
      <alignment horizontal="left"/>
    </xf>
    <xf numFmtId="166" fontId="60" fillId="0" borderId="35" xfId="48" applyNumberFormat="1" applyFont="1" applyBorder="1" applyProtection="1"/>
    <xf numFmtId="7" fontId="1" fillId="0" borderId="0" xfId="48" applyNumberFormat="1" applyFont="1" applyBorder="1" applyAlignment="1" applyProtection="1">
      <alignment horizontal="fill"/>
    </xf>
    <xf numFmtId="7" fontId="1" fillId="0" borderId="0" xfId="48" applyNumberFormat="1" applyFont="1" applyProtection="1"/>
    <xf numFmtId="0" fontId="67" fillId="0" borderId="0" xfId="0" applyFont="1"/>
    <xf numFmtId="0" fontId="17" fillId="0" borderId="0" xfId="48" applyFont="1" applyAlignment="1" applyProtection="1"/>
    <xf numFmtId="7" fontId="1" fillId="0" borderId="0" xfId="48" applyNumberFormat="1" applyFont="1" applyBorder="1" applyProtection="1"/>
    <xf numFmtId="165" fontId="15" fillId="0" borderId="21" xfId="1" applyNumberFormat="1" applyFont="1" applyBorder="1" applyAlignment="1" applyProtection="1">
      <alignment horizontal="center" vertical="center"/>
      <protection locked="0"/>
    </xf>
    <xf numFmtId="0" fontId="69" fillId="0" borderId="21" xfId="1" applyFont="1" applyFill="1" applyBorder="1" applyAlignment="1" applyProtection="1">
      <alignment horizontal="left"/>
      <protection locked="0"/>
    </xf>
    <xf numFmtId="0" fontId="69" fillId="0" borderId="17" xfId="1" applyFont="1" applyFill="1" applyBorder="1" applyAlignment="1" applyProtection="1">
      <alignment horizontal="left"/>
      <protection locked="0"/>
    </xf>
    <xf numFmtId="49" fontId="47" fillId="0" borderId="18" xfId="1" applyNumberFormat="1" applyFont="1" applyFill="1" applyBorder="1" applyAlignment="1" applyProtection="1">
      <alignment horizontal="left"/>
      <protection locked="0"/>
    </xf>
    <xf numFmtId="49" fontId="69" fillId="0" borderId="21" xfId="1" applyNumberFormat="1" applyFont="1" applyFill="1" applyBorder="1" applyAlignment="1" applyProtection="1">
      <alignment horizontal="left"/>
      <protection locked="0"/>
    </xf>
    <xf numFmtId="49" fontId="47" fillId="0" borderId="8" xfId="1" applyNumberFormat="1" applyFont="1" applyFill="1" applyBorder="1" applyAlignment="1" applyProtection="1">
      <alignment horizontal="left"/>
      <protection locked="0"/>
    </xf>
    <xf numFmtId="49" fontId="69" fillId="0" borderId="17" xfId="1" applyNumberFormat="1" applyFont="1" applyFill="1" applyBorder="1" applyAlignment="1" applyProtection="1">
      <alignment horizontal="left"/>
      <protection locked="0"/>
    </xf>
    <xf numFmtId="49" fontId="29" fillId="18" borderId="14" xfId="1" applyNumberFormat="1" applyFont="1" applyFill="1" applyBorder="1" applyAlignment="1">
      <alignment horizontal="left"/>
    </xf>
    <xf numFmtId="49" fontId="1" fillId="18" borderId="14" xfId="1" applyNumberFormat="1" applyFont="1" applyFill="1" applyBorder="1" applyAlignment="1">
      <alignment horizontal="left"/>
    </xf>
    <xf numFmtId="49" fontId="15" fillId="0" borderId="8" xfId="1" applyNumberFormat="1" applyFont="1" applyBorder="1" applyAlignment="1" applyProtection="1">
      <alignment horizontal="left"/>
      <protection locked="0"/>
    </xf>
    <xf numFmtId="49" fontId="29" fillId="18" borderId="8" xfId="1" applyNumberFormat="1" applyFont="1" applyFill="1" applyBorder="1" applyAlignment="1">
      <alignment horizontal="left"/>
    </xf>
    <xf numFmtId="49" fontId="18" fillId="18" borderId="8" xfId="1" applyNumberFormat="1" applyFont="1" applyFill="1" applyBorder="1" applyAlignment="1">
      <alignment horizontal="center"/>
    </xf>
    <xf numFmtId="165" fontId="34" fillId="0" borderId="21" xfId="0" applyNumberFormat="1" applyFont="1" applyBorder="1" applyAlignment="1">
      <alignment vertical="center"/>
    </xf>
    <xf numFmtId="49" fontId="34" fillId="0" borderId="21" xfId="0" applyNumberFormat="1" applyFont="1" applyBorder="1" applyAlignment="1">
      <alignment horizontal="left" vertical="center"/>
    </xf>
    <xf numFmtId="3" fontId="34" fillId="0" borderId="21" xfId="0" applyNumberFormat="1" applyFont="1" applyBorder="1" applyAlignment="1">
      <alignment horizontal="right" vertical="center"/>
    </xf>
    <xf numFmtId="166" fontId="55" fillId="0" borderId="21" xfId="0" applyNumberFormat="1" applyFont="1" applyBorder="1"/>
    <xf numFmtId="166" fontId="47" fillId="0" borderId="21" xfId="0" applyNumberFormat="1" applyFont="1" applyBorder="1" applyAlignment="1">
      <alignment horizontal="right" vertical="center"/>
    </xf>
    <xf numFmtId="166" fontId="47" fillId="0" borderId="44" xfId="1" applyNumberFormat="1" applyFont="1" applyBorder="1" applyAlignment="1" applyProtection="1">
      <alignment horizontal="right" vertical="center"/>
      <protection locked="0"/>
    </xf>
    <xf numFmtId="166" fontId="55" fillId="0" borderId="44" xfId="1" applyNumberFormat="1" applyFont="1" applyBorder="1" applyAlignment="1">
      <alignment horizontal="right" vertical="center"/>
    </xf>
    <xf numFmtId="0" fontId="29" fillId="18" borderId="47" xfId="1" applyFont="1" applyFill="1" applyBorder="1" applyAlignment="1">
      <alignment horizontal="left"/>
    </xf>
    <xf numFmtId="166" fontId="55" fillId="0" borderId="44" xfId="1" applyNumberFormat="1" applyFont="1" applyBorder="1" applyAlignment="1">
      <alignment horizontal="right"/>
    </xf>
    <xf numFmtId="166" fontId="55" fillId="0" borderId="45" xfId="1" applyNumberFormat="1" applyFont="1" applyBorder="1" applyAlignment="1">
      <alignment horizontal="right"/>
    </xf>
    <xf numFmtId="166" fontId="47" fillId="0" borderId="21" xfId="1" applyNumberFormat="1" applyFont="1" applyBorder="1" applyAlignment="1" applyProtection="1">
      <alignment horizontal="right"/>
      <protection locked="0"/>
    </xf>
    <xf numFmtId="0" fontId="29" fillId="18" borderId="27" xfId="1" applyFont="1" applyFill="1" applyBorder="1" applyAlignment="1">
      <alignment horizontal="left"/>
    </xf>
    <xf numFmtId="166" fontId="47" fillId="0" borderId="21" xfId="1" applyNumberFormat="1" applyFont="1" applyFill="1" applyBorder="1" applyAlignment="1" applyProtection="1">
      <protection locked="0"/>
    </xf>
    <xf numFmtId="166" fontId="47" fillId="0" borderId="48" xfId="1" applyNumberFormat="1" applyFont="1" applyFill="1" applyBorder="1" applyAlignment="1" applyProtection="1">
      <protection locked="0"/>
    </xf>
    <xf numFmtId="166" fontId="29" fillId="18" borderId="21" xfId="1" applyNumberFormat="1" applyFont="1" applyFill="1" applyBorder="1" applyAlignment="1">
      <alignment horizontal="left"/>
    </xf>
    <xf numFmtId="166" fontId="41" fillId="0" borderId="49" xfId="1" applyNumberFormat="1" applyFont="1" applyBorder="1" applyAlignment="1" applyProtection="1">
      <protection locked="0"/>
    </xf>
    <xf numFmtId="166" fontId="41" fillId="0" borderId="44" xfId="1" applyNumberFormat="1" applyFont="1" applyBorder="1" applyAlignment="1" applyProtection="1">
      <protection locked="0"/>
    </xf>
    <xf numFmtId="166" fontId="56" fillId="0" borderId="44" xfId="1" applyNumberFormat="1" applyFont="1" applyBorder="1" applyAlignment="1"/>
    <xf numFmtId="0" fontId="35" fillId="20" borderId="27" xfId="0" applyFont="1" applyFill="1" applyBorder="1"/>
    <xf numFmtId="0" fontId="29" fillId="18" borderId="48" xfId="1" applyFont="1" applyFill="1" applyBorder="1" applyAlignment="1">
      <alignment horizontal="left"/>
    </xf>
    <xf numFmtId="0" fontId="29" fillId="18" borderId="46" xfId="1" applyFont="1" applyFill="1" applyBorder="1" applyAlignment="1">
      <alignment horizontal="left"/>
    </xf>
    <xf numFmtId="166" fontId="55" fillId="0" borderId="44" xfId="1" applyNumberFormat="1" applyFont="1" applyBorder="1" applyAlignment="1" applyProtection="1"/>
    <xf numFmtId="166" fontId="47" fillId="0" borderId="44" xfId="1" applyNumberFormat="1" applyFont="1" applyBorder="1" applyAlignment="1">
      <alignment horizontal="right" vertical="center"/>
    </xf>
    <xf numFmtId="166" fontId="47" fillId="0" borderId="45" xfId="1" applyNumberFormat="1" applyFont="1" applyBorder="1" applyAlignment="1">
      <alignment horizontal="right" vertical="center"/>
    </xf>
    <xf numFmtId="166" fontId="47" fillId="0" borderId="49" xfId="1" applyNumberFormat="1" applyFont="1" applyBorder="1" applyAlignment="1" applyProtection="1">
      <alignment horizontal="right" vertical="center"/>
      <protection locked="0"/>
    </xf>
    <xf numFmtId="0" fontId="68" fillId="19" borderId="0" xfId="1" applyFont="1" applyFill="1" applyBorder="1" applyAlignment="1" applyProtection="1">
      <alignment horizontal="left" vertical="center"/>
      <protection locked="0"/>
    </xf>
    <xf numFmtId="0" fontId="68" fillId="18" borderId="7" xfId="1" applyFont="1" applyFill="1" applyBorder="1" applyAlignment="1">
      <alignment vertical="center"/>
    </xf>
    <xf numFmtId="49" fontId="29" fillId="18" borderId="22" xfId="1" applyNumberFormat="1" applyFont="1" applyFill="1" applyBorder="1" applyAlignment="1">
      <alignment horizontal="left"/>
    </xf>
    <xf numFmtId="49" fontId="1" fillId="18" borderId="0" xfId="1" applyNumberFormat="1" applyFont="1" applyFill="1" applyBorder="1" applyAlignment="1">
      <alignment horizontal="left"/>
    </xf>
    <xf numFmtId="49" fontId="42" fillId="18" borderId="28" xfId="1" applyNumberFormat="1" applyFont="1" applyFill="1" applyBorder="1" applyAlignment="1">
      <alignment horizontal="left"/>
    </xf>
    <xf numFmtId="49" fontId="20" fillId="18" borderId="0" xfId="1" applyNumberFormat="1" applyFont="1" applyFill="1" applyBorder="1" applyAlignment="1">
      <alignment horizontal="center"/>
    </xf>
    <xf numFmtId="49" fontId="42" fillId="18" borderId="0" xfId="1" applyNumberFormat="1" applyFont="1" applyFill="1" applyBorder="1" applyAlignment="1">
      <alignment horizontal="center"/>
    </xf>
    <xf numFmtId="49" fontId="20" fillId="18" borderId="28" xfId="1" applyNumberFormat="1" applyFont="1" applyFill="1" applyBorder="1" applyAlignment="1">
      <alignment horizontal="center"/>
    </xf>
    <xf numFmtId="0" fontId="1" fillId="18" borderId="9" xfId="1" applyFont="1" applyFill="1" applyBorder="1" applyAlignment="1">
      <alignment horizontal="right" vertical="center"/>
    </xf>
    <xf numFmtId="0" fontId="1" fillId="18" borderId="17" xfId="1" applyFont="1" applyFill="1" applyBorder="1" applyAlignment="1">
      <alignment horizontal="center" vertical="center"/>
    </xf>
    <xf numFmtId="0" fontId="42" fillId="18" borderId="8" xfId="1" applyFont="1" applyFill="1" applyBorder="1" applyAlignment="1">
      <alignment horizontal="center"/>
    </xf>
    <xf numFmtId="49" fontId="20" fillId="18" borderId="22" xfId="1" applyNumberFormat="1" applyFont="1" applyFill="1" applyBorder="1" applyAlignment="1">
      <alignment horizontal="center"/>
    </xf>
    <xf numFmtId="0" fontId="1" fillId="18" borderId="0" xfId="1" applyFont="1" applyFill="1" applyBorder="1" applyAlignment="1"/>
    <xf numFmtId="49" fontId="53" fillId="0" borderId="8" xfId="1" applyNumberFormat="1" applyFont="1" applyBorder="1" applyAlignment="1" applyProtection="1">
      <alignment horizontal="center" vertical="center"/>
      <protection locked="0"/>
    </xf>
    <xf numFmtId="166" fontId="69" fillId="0" borderId="9" xfId="1" applyNumberFormat="1" applyFont="1" applyBorder="1" applyAlignment="1" applyProtection="1">
      <alignment horizontal="right" vertical="center"/>
      <protection locked="0"/>
    </xf>
    <xf numFmtId="166" fontId="69" fillId="0" borderId="8" xfId="1" applyNumberFormat="1" applyFont="1" applyBorder="1" applyAlignment="1" applyProtection="1">
      <alignment horizontal="right" vertical="center"/>
      <protection locked="0"/>
    </xf>
    <xf numFmtId="49" fontId="47" fillId="0" borderId="8" xfId="1" applyNumberFormat="1" applyFont="1" applyBorder="1" applyAlignment="1" applyProtection="1">
      <protection locked="0"/>
    </xf>
    <xf numFmtId="166" fontId="47" fillId="0" borderId="8" xfId="1" applyNumberFormat="1" applyFont="1" applyBorder="1" applyAlignment="1" applyProtection="1">
      <protection locked="0"/>
    </xf>
    <xf numFmtId="166" fontId="47" fillId="0" borderId="8" xfId="1" applyNumberFormat="1" applyFont="1" applyBorder="1" applyAlignment="1" applyProtection="1">
      <alignment horizontal="right" vertical="center"/>
      <protection locked="0"/>
    </xf>
    <xf numFmtId="49" fontId="47" fillId="0" borderId="19" xfId="1" applyNumberFormat="1" applyFont="1" applyBorder="1" applyAlignment="1" applyProtection="1">
      <protection locked="0"/>
    </xf>
    <xf numFmtId="166" fontId="47" fillId="0" borderId="19" xfId="1" applyNumberFormat="1" applyFont="1" applyBorder="1" applyAlignment="1" applyProtection="1">
      <protection locked="0"/>
    </xf>
    <xf numFmtId="166" fontId="47" fillId="0" borderId="19" xfId="1" applyNumberFormat="1" applyFont="1" applyBorder="1" applyAlignment="1" applyProtection="1">
      <alignment horizontal="right" vertical="center"/>
      <protection locked="0"/>
    </xf>
    <xf numFmtId="49" fontId="47" fillId="0" borderId="17" xfId="1" applyNumberFormat="1" applyFont="1" applyBorder="1" applyAlignment="1" applyProtection="1">
      <protection locked="0"/>
    </xf>
    <xf numFmtId="166" fontId="47" fillId="0" borderId="17" xfId="1" applyNumberFormat="1" applyFont="1" applyBorder="1" applyAlignment="1" applyProtection="1">
      <protection locked="0"/>
    </xf>
    <xf numFmtId="166" fontId="47" fillId="0" borderId="17" xfId="1" applyNumberFormat="1" applyFont="1" applyBorder="1" applyAlignment="1" applyProtection="1">
      <alignment horizontal="right" vertical="center"/>
      <protection locked="0"/>
    </xf>
    <xf numFmtId="49" fontId="47" fillId="0" borderId="21" xfId="0" applyNumberFormat="1" applyFont="1" applyBorder="1" applyAlignment="1">
      <alignment horizontal="center" vertical="center"/>
    </xf>
    <xf numFmtId="49" fontId="47" fillId="0" borderId="50" xfId="1" applyNumberFormat="1" applyFont="1" applyBorder="1" applyAlignment="1" applyProtection="1">
      <alignment horizontal="left" vertical="center"/>
      <protection locked="0"/>
    </xf>
    <xf numFmtId="49" fontId="47" fillId="0" borderId="17" xfId="1" applyNumberFormat="1" applyFont="1" applyBorder="1" applyAlignment="1" applyProtection="1">
      <alignment horizontal="center" vertical="center"/>
      <protection locked="0"/>
    </xf>
    <xf numFmtId="49" fontId="47" fillId="0" borderId="8" xfId="1" applyNumberFormat="1" applyFont="1" applyBorder="1" applyAlignment="1" applyProtection="1">
      <alignment horizontal="center" vertical="center"/>
      <protection locked="0"/>
    </xf>
    <xf numFmtId="49" fontId="47" fillId="0" borderId="52" xfId="1" applyNumberFormat="1" applyFont="1" applyBorder="1" applyAlignment="1" applyProtection="1">
      <alignment horizontal="left" vertical="center"/>
      <protection locked="0"/>
    </xf>
    <xf numFmtId="49" fontId="47" fillId="0" borderId="19" xfId="1" applyNumberFormat="1" applyFont="1" applyBorder="1" applyAlignment="1" applyProtection="1">
      <alignment horizontal="center" vertical="center"/>
      <protection locked="0"/>
    </xf>
    <xf numFmtId="49" fontId="47" fillId="0" borderId="21" xfId="1" applyNumberFormat="1" applyFont="1" applyBorder="1" applyAlignment="1">
      <alignment horizontal="left" vertical="center"/>
    </xf>
    <xf numFmtId="49" fontId="47" fillId="0" borderId="9" xfId="1" applyNumberFormat="1" applyFont="1" applyBorder="1" applyAlignment="1" applyProtection="1">
      <alignment horizontal="center" vertical="center"/>
      <protection locked="0"/>
    </xf>
    <xf numFmtId="49" fontId="47" fillId="0" borderId="21" xfId="1" applyNumberFormat="1" applyFont="1" applyBorder="1" applyAlignment="1" applyProtection="1">
      <alignment horizontal="left" vertical="center"/>
      <protection locked="0"/>
    </xf>
    <xf numFmtId="49" fontId="47" fillId="0" borderId="21" xfId="1" applyNumberFormat="1" applyFont="1" applyBorder="1" applyAlignment="1" applyProtection="1">
      <alignment horizontal="center" vertical="center"/>
      <protection locked="0"/>
    </xf>
    <xf numFmtId="49" fontId="47" fillId="0" borderId="15" xfId="1" applyNumberFormat="1" applyFont="1" applyBorder="1" applyAlignment="1" applyProtection="1">
      <alignment horizontal="center" vertical="center"/>
      <protection locked="0"/>
    </xf>
    <xf numFmtId="49" fontId="34" fillId="20" borderId="22" xfId="0" applyNumberFormat="1" applyFont="1" applyFill="1" applyBorder="1"/>
    <xf numFmtId="0" fontId="1" fillId="0" borderId="0" xfId="1" applyFont="1" applyBorder="1" applyAlignment="1"/>
    <xf numFmtId="0" fontId="1" fillId="0" borderId="7" xfId="1" applyFont="1" applyFill="1" applyBorder="1" applyAlignment="1">
      <alignment horizontal="left"/>
    </xf>
    <xf numFmtId="0" fontId="1" fillId="0" borderId="0" xfId="1" applyFont="1" applyFill="1" applyBorder="1" applyAlignment="1">
      <alignment horizontal="center" vertical="center"/>
    </xf>
    <xf numFmtId="49" fontId="47" fillId="0" borderId="21" xfId="0" applyNumberFormat="1" applyFont="1" applyBorder="1"/>
    <xf numFmtId="166" fontId="47" fillId="0" borderId="21" xfId="0" applyNumberFormat="1" applyFont="1" applyBorder="1"/>
    <xf numFmtId="49" fontId="34" fillId="20" borderId="0" xfId="0" applyNumberFormat="1" applyFont="1" applyFill="1" applyBorder="1"/>
    <xf numFmtId="0" fontId="34" fillId="20" borderId="0" xfId="0" applyFont="1" applyFill="1" applyBorder="1" applyAlignment="1">
      <alignment horizontal="right" vertical="center"/>
    </xf>
    <xf numFmtId="49" fontId="47" fillId="0" borderId="21" xfId="0" applyNumberFormat="1" applyFont="1" applyBorder="1" applyAlignment="1">
      <alignment horizontal="left" vertical="center"/>
    </xf>
    <xf numFmtId="49" fontId="34" fillId="0" borderId="40" xfId="0" applyNumberFormat="1" applyFont="1" applyBorder="1"/>
    <xf numFmtId="49" fontId="34" fillId="0" borderId="0" xfId="0" applyNumberFormat="1" applyFont="1" applyBorder="1"/>
    <xf numFmtId="0" fontId="34" fillId="0" borderId="0" xfId="0" applyFont="1" applyBorder="1"/>
    <xf numFmtId="0" fontId="34" fillId="0" borderId="27" xfId="0" applyFont="1" applyBorder="1"/>
    <xf numFmtId="49" fontId="34" fillId="0" borderId="0" xfId="0" applyNumberFormat="1" applyFont="1"/>
    <xf numFmtId="0" fontId="34" fillId="0" borderId="0" xfId="0" applyFont="1" applyAlignment="1">
      <alignment horizontal="right" vertical="center"/>
    </xf>
    <xf numFmtId="49" fontId="1" fillId="18" borderId="40" xfId="1" applyNumberFormat="1" applyFont="1" applyFill="1" applyBorder="1" applyAlignment="1"/>
    <xf numFmtId="49" fontId="1" fillId="18" borderId="14" xfId="1" applyNumberFormat="1" applyFont="1" applyFill="1" applyBorder="1" applyAlignment="1"/>
    <xf numFmtId="0" fontId="1" fillId="18" borderId="14" xfId="1" applyFont="1" applyFill="1" applyBorder="1" applyAlignment="1"/>
    <xf numFmtId="0" fontId="1" fillId="18" borderId="15" xfId="1" applyFont="1" applyFill="1" applyBorder="1" applyAlignment="1"/>
    <xf numFmtId="0" fontId="1" fillId="0" borderId="0" xfId="1" applyFont="1" applyFill="1">
      <alignment vertical="top"/>
    </xf>
    <xf numFmtId="0" fontId="1" fillId="0" borderId="0" xfId="1" applyFont="1">
      <alignment vertical="top"/>
    </xf>
    <xf numFmtId="0" fontId="70" fillId="0" borderId="0" xfId="0" applyFont="1" applyFill="1" applyAlignment="1">
      <alignment horizontal="left" vertical="center" readingOrder="1"/>
    </xf>
    <xf numFmtId="0" fontId="1" fillId="0" borderId="8" xfId="1" applyFont="1" applyBorder="1" applyAlignment="1"/>
    <xf numFmtId="0" fontId="1" fillId="0" borderId="17" xfId="1" applyFont="1" applyBorder="1" applyAlignment="1"/>
    <xf numFmtId="166" fontId="47" fillId="0" borderId="57" xfId="1" applyNumberFormat="1" applyFont="1" applyBorder="1" applyAlignment="1" applyProtection="1">
      <alignment horizontal="right" vertical="center"/>
      <protection locked="0"/>
    </xf>
    <xf numFmtId="166" fontId="47" fillId="0" borderId="9" xfId="1" applyNumberFormat="1" applyFont="1" applyBorder="1" applyAlignment="1" applyProtection="1">
      <alignment horizontal="right" vertical="center"/>
      <protection locked="0"/>
    </xf>
    <xf numFmtId="166" fontId="54" fillId="0" borderId="8" xfId="1" applyNumberFormat="1" applyFont="1" applyBorder="1" applyAlignment="1" applyProtection="1">
      <alignment horizontal="right" vertical="center"/>
    </xf>
    <xf numFmtId="0" fontId="1" fillId="18" borderId="0" xfId="1" applyFont="1" applyFill="1" applyBorder="1" applyAlignment="1">
      <alignment horizontal="center" vertical="center"/>
    </xf>
    <xf numFmtId="49" fontId="47" fillId="0" borderId="28" xfId="1" applyNumberFormat="1" applyFont="1" applyFill="1" applyBorder="1" applyAlignment="1" applyProtection="1">
      <alignment horizontal="left" vertical="center"/>
    </xf>
    <xf numFmtId="49" fontId="47" fillId="0" borderId="23" xfId="1" applyNumberFormat="1" applyFont="1" applyFill="1" applyBorder="1" applyAlignment="1" applyProtection="1">
      <alignment horizontal="left" vertical="center"/>
    </xf>
    <xf numFmtId="166" fontId="29" fillId="0" borderId="8" xfId="1" applyNumberFormat="1" applyFont="1" applyBorder="1" applyAlignment="1" applyProtection="1">
      <alignment horizontal="right" vertical="center"/>
      <protection locked="0"/>
    </xf>
    <xf numFmtId="166" fontId="55" fillId="0" borderId="8" xfId="1" applyNumberFormat="1" applyFont="1" applyBorder="1" applyAlignment="1" applyProtection="1">
      <alignment horizontal="right" vertical="center"/>
      <protection locked="0"/>
    </xf>
    <xf numFmtId="166" fontId="41" fillId="0" borderId="8" xfId="1" applyNumberFormat="1" applyFont="1" applyBorder="1" applyAlignment="1" applyProtection="1">
      <alignment horizontal="right" vertical="center"/>
      <protection locked="0"/>
    </xf>
    <xf numFmtId="49" fontId="18" fillId="20" borderId="30" xfId="1" applyNumberFormat="1" applyFont="1" applyFill="1" applyBorder="1" applyAlignment="1" applyProtection="1">
      <alignment vertical="center"/>
      <protection locked="0"/>
    </xf>
    <xf numFmtId="49" fontId="22" fillId="20" borderId="23" xfId="1" applyNumberFormat="1" applyFont="1" applyFill="1" applyBorder="1" applyAlignment="1" applyProtection="1">
      <alignment vertical="center"/>
      <protection locked="0"/>
    </xf>
    <xf numFmtId="166" fontId="54" fillId="0" borderId="44" xfId="1" applyNumberFormat="1" applyFont="1" applyBorder="1" applyAlignment="1">
      <alignment horizontal="right" vertical="center"/>
    </xf>
    <xf numFmtId="0" fontId="47" fillId="0" borderId="8" xfId="1" applyFont="1" applyBorder="1" applyAlignment="1">
      <alignment horizontal="center" vertical="center"/>
    </xf>
    <xf numFmtId="0" fontId="47" fillId="0" borderId="8" xfId="1" applyFont="1" applyBorder="1" applyAlignment="1">
      <alignment horizontal="left" vertical="center"/>
    </xf>
    <xf numFmtId="166" fontId="47" fillId="0" borderId="8" xfId="1" applyNumberFormat="1" applyFont="1" applyBorder="1" applyAlignment="1">
      <alignment horizontal="center" vertical="center"/>
    </xf>
    <xf numFmtId="3" fontId="41" fillId="0" borderId="8" xfId="1" applyNumberFormat="1" applyFont="1" applyBorder="1" applyAlignment="1"/>
    <xf numFmtId="49" fontId="41" fillId="0" borderId="8" xfId="1" applyNumberFormat="1" applyFont="1" applyBorder="1" applyAlignment="1"/>
    <xf numFmtId="165" fontId="41" fillId="0" borderId="8" xfId="1" applyNumberFormat="1" applyFont="1" applyBorder="1" applyAlignment="1">
      <alignment horizontal="center" vertical="center"/>
    </xf>
    <xf numFmtId="3" fontId="41" fillId="0" borderId="19" xfId="1" applyNumberFormat="1" applyFont="1" applyBorder="1" applyAlignment="1"/>
    <xf numFmtId="49" fontId="41" fillId="0" borderId="19" xfId="1" applyNumberFormat="1" applyFont="1" applyBorder="1" applyAlignment="1"/>
    <xf numFmtId="165" fontId="41" fillId="0" borderId="19" xfId="1" applyNumberFormat="1" applyFont="1" applyBorder="1" applyAlignment="1">
      <alignment horizontal="center" vertical="center"/>
    </xf>
    <xf numFmtId="3" fontId="41" fillId="0" borderId="8" xfId="1" applyNumberFormat="1" applyFont="1" applyBorder="1" applyAlignment="1" applyProtection="1">
      <alignment horizontal="right" vertical="center"/>
    </xf>
    <xf numFmtId="49" fontId="41" fillId="0" borderId="8" xfId="1" applyNumberFormat="1" applyFont="1" applyBorder="1" applyAlignment="1" applyProtection="1">
      <alignment horizontal="left" vertical="center"/>
    </xf>
    <xf numFmtId="166" fontId="41" fillId="0" borderId="8" xfId="1" applyNumberFormat="1" applyFont="1" applyBorder="1" applyAlignment="1" applyProtection="1">
      <alignment horizontal="center" vertical="center"/>
    </xf>
    <xf numFmtId="166" fontId="41" fillId="0" borderId="47" xfId="1" applyNumberFormat="1" applyFont="1" applyBorder="1" applyAlignment="1" applyProtection="1">
      <alignment horizontal="right" vertical="center"/>
      <protection locked="0"/>
    </xf>
    <xf numFmtId="0" fontId="42" fillId="18" borderId="77" xfId="1" applyFont="1" applyFill="1" applyBorder="1" applyAlignment="1">
      <alignment horizontal="center"/>
    </xf>
    <xf numFmtId="166" fontId="41" fillId="0" borderId="21" xfId="1" applyNumberFormat="1" applyFont="1" applyBorder="1" applyAlignment="1" applyProtection="1">
      <alignment horizontal="right" vertical="center"/>
      <protection locked="0"/>
    </xf>
    <xf numFmtId="0" fontId="53" fillId="0" borderId="57" xfId="1" applyFont="1" applyBorder="1" applyAlignment="1"/>
    <xf numFmtId="3" fontId="47" fillId="0" borderId="9" xfId="1" applyNumberFormat="1" applyFont="1" applyBorder="1" applyAlignment="1" applyProtection="1">
      <alignment horizontal="right" vertical="center"/>
      <protection locked="0"/>
    </xf>
    <xf numFmtId="166" fontId="57" fillId="0" borderId="8" xfId="1" applyNumberFormat="1" applyFont="1" applyBorder="1" applyAlignment="1">
      <alignment horizontal="right" vertical="center"/>
    </xf>
    <xf numFmtId="3" fontId="55" fillId="0" borderId="8" xfId="1" applyNumberFormat="1" applyFont="1" applyBorder="1" applyAlignment="1">
      <alignment horizontal="right" vertical="center"/>
    </xf>
    <xf numFmtId="166" fontId="55" fillId="0" borderId="8" xfId="1" applyNumberFormat="1" applyFont="1" applyBorder="1" applyAlignment="1">
      <alignment horizontal="right" vertical="center"/>
    </xf>
    <xf numFmtId="166" fontId="21" fillId="0" borderId="8" xfId="1" applyNumberFormat="1" applyFont="1" applyBorder="1" applyAlignment="1"/>
    <xf numFmtId="49" fontId="47" fillId="0" borderId="8" xfId="1" applyNumberFormat="1" applyFont="1" applyBorder="1" applyAlignment="1">
      <alignment horizontal="center" vertical="center"/>
    </xf>
    <xf numFmtId="49" fontId="47" fillId="0" borderId="8" xfId="1" applyNumberFormat="1" applyFont="1" applyBorder="1" applyAlignment="1" applyProtection="1">
      <alignment horizontal="left" vertical="center"/>
      <protection locked="0"/>
    </xf>
    <xf numFmtId="49" fontId="69" fillId="0" borderId="8" xfId="1" applyNumberFormat="1" applyFont="1" applyBorder="1" applyAlignment="1" applyProtection="1">
      <alignment horizontal="center" vertical="center"/>
      <protection locked="0"/>
    </xf>
    <xf numFmtId="166" fontId="47" fillId="0" borderId="8" xfId="1" applyNumberFormat="1" applyFont="1" applyBorder="1" applyAlignment="1" applyProtection="1">
      <alignment vertical="center"/>
      <protection locked="0"/>
    </xf>
    <xf numFmtId="166" fontId="55" fillId="0" borderId="8" xfId="1" applyNumberFormat="1" applyFont="1" applyBorder="1" applyAlignment="1"/>
    <xf numFmtId="0" fontId="47" fillId="0" borderId="8" xfId="1" applyFont="1" applyBorder="1" applyAlignment="1" applyProtection="1">
      <alignment horizontal="center" vertical="center"/>
      <protection locked="0"/>
    </xf>
    <xf numFmtId="165" fontId="47" fillId="0" borderId="8" xfId="1" applyNumberFormat="1" applyFont="1" applyBorder="1" applyAlignment="1" applyProtection="1">
      <alignment horizontal="right" vertical="center"/>
      <protection locked="0"/>
    </xf>
    <xf numFmtId="0" fontId="47" fillId="0" borderId="8" xfId="1" applyFont="1" applyBorder="1" applyAlignment="1" applyProtection="1">
      <protection locked="0"/>
    </xf>
    <xf numFmtId="166" fontId="56" fillId="0" borderId="8" xfId="1" applyNumberFormat="1" applyFont="1" applyBorder="1" applyAlignment="1"/>
    <xf numFmtId="165" fontId="41" fillId="0" borderId="8" xfId="1" applyNumberFormat="1" applyFont="1" applyBorder="1" applyAlignment="1" applyProtection="1">
      <protection locked="0"/>
    </xf>
    <xf numFmtId="0" fontId="30" fillId="0" borderId="21" xfId="1" applyFont="1" applyBorder="1" applyAlignment="1">
      <alignment horizontal="center" vertical="center"/>
    </xf>
    <xf numFmtId="49" fontId="41" fillId="0" borderId="0" xfId="1" applyNumberFormat="1" applyFont="1" applyBorder="1" applyAlignment="1" applyProtection="1">
      <alignment vertical="center"/>
      <protection locked="0"/>
    </xf>
    <xf numFmtId="49" fontId="32" fillId="0" borderId="0" xfId="1" applyNumberFormat="1" applyFont="1" applyBorder="1" applyAlignment="1" applyProtection="1">
      <alignment vertical="center"/>
      <protection locked="0"/>
    </xf>
    <xf numFmtId="49" fontId="51" fillId="0" borderId="8" xfId="1" applyNumberFormat="1" applyFont="1" applyBorder="1" applyAlignment="1" applyProtection="1">
      <alignment horizontal="center" vertical="center"/>
      <protection locked="0"/>
    </xf>
    <xf numFmtId="49" fontId="30" fillId="0" borderId="8" xfId="1" applyNumberFormat="1" applyFont="1" applyBorder="1" applyAlignment="1" applyProtection="1">
      <alignment horizontal="center" vertical="center"/>
      <protection locked="0"/>
    </xf>
    <xf numFmtId="49" fontId="48" fillId="0" borderId="8" xfId="1" applyNumberFormat="1" applyFont="1" applyBorder="1" applyAlignment="1" applyProtection="1">
      <alignment horizontal="left" vertical="center"/>
      <protection locked="0"/>
    </xf>
    <xf numFmtId="49" fontId="48" fillId="0" borderId="19" xfId="1" applyNumberFormat="1" applyFont="1" applyBorder="1" applyAlignment="1" applyProtection="1">
      <alignment horizontal="left" vertical="center"/>
      <protection locked="0"/>
    </xf>
    <xf numFmtId="49" fontId="48" fillId="0" borderId="21" xfId="1" applyNumberFormat="1" applyFont="1" applyBorder="1" applyAlignment="1" applyProtection="1">
      <alignment horizontal="left" vertical="center"/>
      <protection locked="0"/>
    </xf>
    <xf numFmtId="166" fontId="56" fillId="0" borderId="8" xfId="1" applyNumberFormat="1" applyFont="1" applyBorder="1" applyAlignment="1" applyProtection="1">
      <alignment horizontal="right" vertical="center"/>
      <protection locked="0"/>
    </xf>
    <xf numFmtId="166" fontId="56" fillId="0" borderId="19" xfId="1" applyNumberFormat="1" applyFont="1" applyBorder="1" applyAlignment="1" applyProtection="1">
      <alignment horizontal="right" vertical="center"/>
      <protection locked="0"/>
    </xf>
    <xf numFmtId="165" fontId="71" fillId="0" borderId="8" xfId="1" applyNumberFormat="1" applyFont="1" applyBorder="1" applyAlignment="1" applyProtection="1">
      <alignment horizontal="center" vertical="center"/>
      <protection locked="0"/>
    </xf>
    <xf numFmtId="165" fontId="71" fillId="0" borderId="19" xfId="1" applyNumberFormat="1" applyFont="1" applyBorder="1" applyAlignment="1" applyProtection="1">
      <alignment horizontal="center" vertical="center"/>
      <protection locked="0"/>
    </xf>
    <xf numFmtId="165" fontId="71" fillId="0" borderId="21" xfId="1" applyNumberFormat="1" applyFont="1" applyBorder="1" applyAlignment="1" applyProtection="1">
      <alignment horizontal="center" vertical="center"/>
      <protection locked="0"/>
    </xf>
    <xf numFmtId="3" fontId="71" fillId="0" borderId="8" xfId="1" applyNumberFormat="1" applyFont="1" applyBorder="1" applyAlignment="1" applyProtection="1">
      <alignment horizontal="center" vertical="center"/>
      <protection locked="0"/>
    </xf>
    <xf numFmtId="3" fontId="71" fillId="0" borderId="19" xfId="1" applyNumberFormat="1" applyFont="1" applyBorder="1" applyAlignment="1" applyProtection="1">
      <alignment horizontal="center" vertical="center"/>
      <protection locked="0"/>
    </xf>
    <xf numFmtId="3" fontId="71" fillId="0" borderId="21" xfId="1" applyNumberFormat="1" applyFont="1" applyBorder="1" applyAlignment="1" applyProtection="1">
      <alignment horizontal="center" vertical="center"/>
      <protection locked="0"/>
    </xf>
    <xf numFmtId="49" fontId="47" fillId="0" borderId="8" xfId="1" applyNumberFormat="1" applyFont="1" applyBorder="1" applyAlignment="1" applyProtection="1">
      <alignment horizontal="center"/>
      <protection locked="0"/>
    </xf>
    <xf numFmtId="49" fontId="47" fillId="0" borderId="18" xfId="1" applyNumberFormat="1" applyFont="1" applyBorder="1" applyAlignment="1" applyProtection="1">
      <alignment horizontal="center"/>
      <protection locked="0"/>
    </xf>
    <xf numFmtId="49" fontId="30" fillId="0" borderId="21" xfId="1" applyNumberFormat="1" applyFont="1" applyBorder="1" applyAlignment="1">
      <alignment horizontal="center" vertical="center"/>
    </xf>
    <xf numFmtId="3" fontId="62" fillId="0" borderId="8" xfId="1" applyNumberFormat="1" applyFont="1" applyBorder="1" applyAlignment="1" applyProtection="1">
      <protection locked="0"/>
    </xf>
    <xf numFmtId="3" fontId="62" fillId="0" borderId="18" xfId="1" applyNumberFormat="1" applyFont="1" applyBorder="1" applyAlignment="1" applyProtection="1">
      <protection locked="0"/>
    </xf>
    <xf numFmtId="3" fontId="62" fillId="0" borderId="19" xfId="1" applyNumberFormat="1" applyFont="1" applyBorder="1" applyAlignment="1" applyProtection="1">
      <protection locked="0"/>
    </xf>
    <xf numFmtId="3" fontId="62" fillId="0" borderId="13" xfId="1" applyNumberFormat="1" applyFont="1" applyBorder="1" applyAlignment="1" applyProtection="1">
      <protection locked="0"/>
    </xf>
    <xf numFmtId="3" fontId="62" fillId="0" borderId="21" xfId="1" applyNumberFormat="1" applyFont="1" applyBorder="1" applyAlignment="1" applyProtection="1">
      <protection locked="0"/>
    </xf>
    <xf numFmtId="166" fontId="56" fillId="0" borderId="60" xfId="1" applyNumberFormat="1" applyFont="1" applyBorder="1" applyAlignment="1">
      <alignment vertical="center"/>
    </xf>
    <xf numFmtId="166" fontId="56" fillId="0" borderId="65" xfId="1" applyNumberFormat="1" applyFont="1" applyBorder="1" applyAlignment="1" applyProtection="1">
      <alignment horizontal="right" vertical="center"/>
      <protection locked="0"/>
    </xf>
    <xf numFmtId="3" fontId="62" fillId="0" borderId="65" xfId="1" applyNumberFormat="1" applyFont="1" applyBorder="1" applyAlignment="1" applyProtection="1">
      <protection locked="0"/>
    </xf>
    <xf numFmtId="3" fontId="62" fillId="0" borderId="78" xfId="1" applyNumberFormat="1" applyFont="1" applyBorder="1" applyAlignment="1" applyProtection="1">
      <protection locked="0"/>
    </xf>
    <xf numFmtId="166" fontId="63" fillId="0" borderId="60" xfId="1" applyNumberFormat="1" applyFont="1" applyBorder="1" applyAlignment="1">
      <alignment horizontal="right" vertical="center"/>
    </xf>
    <xf numFmtId="166" fontId="63" fillId="0" borderId="28" xfId="1" applyNumberFormat="1" applyFont="1" applyBorder="1" applyAlignment="1">
      <alignment horizontal="right" vertical="center"/>
    </xf>
    <xf numFmtId="166" fontId="48" fillId="0" borderId="54" xfId="1" applyNumberFormat="1" applyFont="1" applyBorder="1" applyAlignment="1" applyProtection="1">
      <alignment vertical="center"/>
      <protection locked="0"/>
    </xf>
    <xf numFmtId="166" fontId="48" fillId="0" borderId="8" xfId="1" applyNumberFormat="1" applyFont="1" applyBorder="1" applyAlignment="1" applyProtection="1">
      <alignment vertical="center"/>
      <protection locked="0"/>
    </xf>
    <xf numFmtId="3" fontId="62" fillId="0" borderId="54" xfId="1" applyNumberFormat="1" applyFont="1" applyBorder="1" applyAlignment="1" applyProtection="1">
      <protection locked="0"/>
    </xf>
    <xf numFmtId="3" fontId="62" fillId="0" borderId="59" xfId="1" applyNumberFormat="1" applyFont="1" applyBorder="1" applyAlignment="1" applyProtection="1">
      <protection locked="0"/>
    </xf>
    <xf numFmtId="166" fontId="57" fillId="0" borderId="60" xfId="1" applyNumberFormat="1" applyFont="1" applyBorder="1" applyAlignment="1"/>
    <xf numFmtId="166" fontId="56" fillId="0" borderId="79" xfId="1" applyNumberFormat="1" applyFont="1" applyBorder="1" applyAlignment="1"/>
    <xf numFmtId="166" fontId="56" fillId="0" borderId="60" xfId="1" applyNumberFormat="1" applyFont="1" applyBorder="1" applyAlignment="1"/>
    <xf numFmtId="0" fontId="48" fillId="0" borderId="21" xfId="1" applyFont="1" applyBorder="1" applyAlignment="1">
      <alignment horizontal="center" vertical="center"/>
    </xf>
    <xf numFmtId="3" fontId="72" fillId="0" borderId="21" xfId="0" applyNumberFormat="1" applyFont="1" applyBorder="1"/>
    <xf numFmtId="3" fontId="62" fillId="0" borderId="21" xfId="1" applyNumberFormat="1" applyFont="1" applyBorder="1" applyAlignment="1">
      <alignment horizontal="center" vertical="center"/>
    </xf>
    <xf numFmtId="3" fontId="47" fillId="0" borderId="21" xfId="1" applyNumberFormat="1" applyFont="1" applyBorder="1" applyAlignment="1">
      <alignment horizontal="center" vertical="center"/>
    </xf>
    <xf numFmtId="3" fontId="47" fillId="0" borderId="21" xfId="0" applyNumberFormat="1" applyFont="1" applyBorder="1"/>
    <xf numFmtId="0" fontId="34" fillId="0" borderId="21" xfId="0" applyFont="1" applyBorder="1"/>
    <xf numFmtId="166" fontId="56" fillId="0" borderId="60" xfId="0" applyNumberFormat="1" applyFont="1" applyBorder="1"/>
    <xf numFmtId="166" fontId="57" fillId="0" borderId="21" xfId="0" applyNumberFormat="1" applyFont="1" applyBorder="1"/>
    <xf numFmtId="3" fontId="62" fillId="0" borderId="21" xfId="0" applyNumberFormat="1" applyFont="1" applyBorder="1"/>
    <xf numFmtId="166" fontId="57" fillId="0" borderId="21" xfId="1" applyNumberFormat="1" applyFont="1" applyBorder="1" applyAlignment="1">
      <alignment horizontal="right"/>
    </xf>
    <xf numFmtId="166" fontId="57" fillId="0" borderId="21" xfId="0" applyNumberFormat="1" applyFont="1" applyBorder="1" applyAlignment="1">
      <alignment horizontal="right"/>
    </xf>
    <xf numFmtId="166" fontId="73" fillId="0" borderId="21" xfId="0" applyNumberFormat="1" applyFont="1" applyBorder="1" applyAlignment="1">
      <alignment horizontal="right"/>
    </xf>
    <xf numFmtId="166" fontId="57" fillId="0" borderId="60" xfId="1" applyNumberFormat="1" applyFont="1" applyBorder="1" applyAlignment="1">
      <alignment horizontal="right"/>
    </xf>
    <xf numFmtId="166" fontId="73" fillId="0" borderId="60" xfId="0" applyNumberFormat="1" applyFont="1" applyBorder="1" applyAlignment="1">
      <alignment horizontal="right"/>
    </xf>
    <xf numFmtId="166" fontId="57" fillId="0" borderId="60" xfId="1" applyNumberFormat="1" applyFont="1" applyBorder="1" applyAlignment="1">
      <alignment horizontal="center"/>
    </xf>
    <xf numFmtId="166" fontId="57" fillId="0" borderId="60" xfId="0" applyNumberFormat="1" applyFont="1" applyBorder="1" applyAlignment="1"/>
    <xf numFmtId="0" fontId="29" fillId="0" borderId="56" xfId="1" applyFont="1" applyBorder="1">
      <alignment vertical="top"/>
    </xf>
    <xf numFmtId="0" fontId="44" fillId="0" borderId="56" xfId="0" applyFont="1" applyBorder="1"/>
    <xf numFmtId="0" fontId="29" fillId="0" borderId="0" xfId="1" applyFont="1" applyBorder="1" applyAlignment="1"/>
    <xf numFmtId="0" fontId="47" fillId="0" borderId="21" xfId="1" applyFont="1" applyBorder="1" applyAlignment="1">
      <alignment horizontal="right"/>
    </xf>
    <xf numFmtId="0" fontId="47" fillId="0" borderId="21" xfId="0" applyFont="1" applyBorder="1"/>
    <xf numFmtId="0" fontId="47" fillId="0" borderId="21" xfId="1" applyFont="1" applyBorder="1" applyAlignment="1" applyProtection="1">
      <alignment horizontal="right"/>
      <protection locked="0"/>
    </xf>
    <xf numFmtId="0" fontId="47" fillId="0" borderId="65" xfId="1" applyFont="1" applyBorder="1" applyAlignment="1" applyProtection="1">
      <alignment horizontal="right"/>
      <protection locked="0"/>
    </xf>
    <xf numFmtId="0" fontId="48" fillId="0" borderId="65" xfId="1" applyFont="1" applyBorder="1" applyAlignment="1">
      <alignment horizontal="center" vertical="center"/>
    </xf>
    <xf numFmtId="0" fontId="47" fillId="0" borderId="65" xfId="0" applyFont="1" applyBorder="1"/>
    <xf numFmtId="166" fontId="55" fillId="0" borderId="81" xfId="0" applyNumberFormat="1" applyFont="1" applyBorder="1" applyAlignment="1">
      <alignment horizontal="right"/>
    </xf>
    <xf numFmtId="166" fontId="55" fillId="0" borderId="81" xfId="1" applyNumberFormat="1" applyFont="1" applyBorder="1" applyAlignment="1">
      <alignment horizontal="right"/>
    </xf>
    <xf numFmtId="166" fontId="47" fillId="0" borderId="65" xfId="0" applyNumberFormat="1" applyFont="1" applyBorder="1"/>
    <xf numFmtId="166" fontId="57" fillId="0" borderId="60" xfId="0" applyNumberFormat="1" applyFont="1" applyBorder="1" applyAlignment="1">
      <alignment horizontal="right"/>
    </xf>
    <xf numFmtId="0" fontId="29" fillId="0" borderId="0" xfId="1" applyFont="1" applyBorder="1">
      <alignment vertical="top"/>
    </xf>
    <xf numFmtId="166" fontId="56" fillId="0" borderId="81" xfId="0" applyNumberFormat="1" applyFont="1" applyBorder="1" applyAlignment="1">
      <alignment horizontal="right"/>
    </xf>
    <xf numFmtId="166" fontId="54" fillId="0" borderId="60" xfId="0" applyNumberFormat="1" applyFont="1" applyBorder="1"/>
    <xf numFmtId="38" fontId="57" fillId="0" borderId="21" xfId="1" applyNumberFormat="1" applyFont="1" applyBorder="1" applyAlignment="1">
      <alignment horizontal="right"/>
    </xf>
    <xf numFmtId="38" fontId="57" fillId="0" borderId="21" xfId="0" applyNumberFormat="1" applyFont="1" applyBorder="1" applyAlignment="1">
      <alignment horizontal="right"/>
    </xf>
    <xf numFmtId="166" fontId="63" fillId="0" borderId="62" xfId="1" applyNumberFormat="1" applyFont="1" applyBorder="1" applyAlignment="1"/>
    <xf numFmtId="166" fontId="63" fillId="0" borderId="63" xfId="1" applyNumberFormat="1" applyFont="1" applyBorder="1" applyAlignment="1"/>
    <xf numFmtId="166" fontId="54" fillId="0" borderId="61" xfId="1" applyNumberFormat="1" applyFont="1" applyBorder="1" applyAlignment="1">
      <alignment horizontal="center" vertical="center"/>
    </xf>
    <xf numFmtId="3" fontId="48" fillId="0" borderId="21" xfId="1" applyNumberFormat="1" applyFont="1" applyBorder="1" applyAlignment="1">
      <alignment horizontal="right"/>
    </xf>
    <xf numFmtId="166" fontId="56" fillId="0" borderId="21" xfId="1" applyNumberFormat="1" applyFont="1" applyBorder="1" applyAlignment="1">
      <alignment horizontal="right"/>
    </xf>
    <xf numFmtId="166" fontId="56" fillId="0" borderId="65" xfId="1" applyNumberFormat="1" applyFont="1" applyBorder="1" applyAlignment="1">
      <alignment horizontal="right"/>
    </xf>
    <xf numFmtId="166" fontId="56" fillId="0" borderId="60" xfId="1" applyNumberFormat="1" applyFont="1" applyBorder="1" applyAlignment="1">
      <alignment horizontal="right"/>
    </xf>
    <xf numFmtId="166" fontId="54" fillId="0" borderId="60" xfId="1" applyNumberFormat="1" applyFont="1" applyBorder="1" applyAlignment="1">
      <alignment horizontal="right"/>
    </xf>
    <xf numFmtId="166" fontId="56" fillId="0" borderId="60" xfId="0" applyNumberFormat="1" applyFont="1" applyBorder="1" applyAlignment="1">
      <alignment horizontal="right"/>
    </xf>
    <xf numFmtId="166" fontId="57" fillId="0" borderId="21" xfId="0" applyNumberFormat="1" applyFont="1" applyBorder="1" applyAlignment="1">
      <alignment horizontal="right" vertical="center"/>
    </xf>
    <xf numFmtId="166" fontId="57" fillId="0" borderId="65" xfId="0" applyNumberFormat="1" applyFont="1" applyBorder="1" applyAlignment="1">
      <alignment horizontal="right" vertical="center"/>
    </xf>
    <xf numFmtId="166" fontId="56" fillId="0" borderId="60" xfId="0" applyNumberFormat="1" applyFont="1" applyBorder="1" applyAlignment="1">
      <alignment horizontal="right" vertical="center"/>
    </xf>
    <xf numFmtId="166" fontId="62" fillId="0" borderId="60" xfId="1" applyNumberFormat="1" applyFont="1" applyBorder="1" applyAlignment="1">
      <alignment horizontal="right" vertical="center"/>
    </xf>
    <xf numFmtId="3" fontId="62" fillId="0" borderId="21" xfId="1" applyNumberFormat="1" applyFont="1" applyBorder="1" applyAlignment="1" applyProtection="1">
      <alignment horizontal="right"/>
      <protection locked="0"/>
    </xf>
    <xf numFmtId="3" fontId="62" fillId="0" borderId="21" xfId="1" applyNumberFormat="1" applyFont="1" applyBorder="1" applyAlignment="1">
      <alignment horizontal="right" vertical="center"/>
    </xf>
    <xf numFmtId="3" fontId="72" fillId="0" borderId="21" xfId="0" applyNumberFormat="1" applyFont="1" applyBorder="1" applyAlignment="1">
      <alignment horizontal="right"/>
    </xf>
    <xf numFmtId="3" fontId="62" fillId="0" borderId="65" xfId="1" applyNumberFormat="1" applyFont="1" applyBorder="1" applyAlignment="1" applyProtection="1">
      <alignment horizontal="right"/>
      <protection locked="0"/>
    </xf>
    <xf numFmtId="3" fontId="62" fillId="0" borderId="65" xfId="1" applyNumberFormat="1" applyFont="1" applyBorder="1" applyAlignment="1">
      <alignment horizontal="right" vertical="center"/>
    </xf>
    <xf numFmtId="3" fontId="72" fillId="0" borderId="65" xfId="0" applyNumberFormat="1" applyFont="1" applyBorder="1" applyAlignment="1">
      <alignment horizontal="right"/>
    </xf>
    <xf numFmtId="166" fontId="54" fillId="0" borderId="21" xfId="0" applyNumberFormat="1" applyFont="1" applyBorder="1" applyAlignment="1">
      <alignment horizontal="right"/>
    </xf>
    <xf numFmtId="166" fontId="72" fillId="0" borderId="60" xfId="0" applyNumberFormat="1" applyFont="1" applyBorder="1" applyAlignment="1">
      <alignment horizontal="right" vertical="center"/>
    </xf>
    <xf numFmtId="3" fontId="62" fillId="0" borderId="21" xfId="1" applyNumberFormat="1" applyFont="1" applyBorder="1" applyAlignment="1" applyProtection="1">
      <alignment horizontal="right" vertical="center"/>
      <protection locked="0"/>
    </xf>
    <xf numFmtId="3" fontId="72" fillId="0" borderId="21" xfId="0" applyNumberFormat="1" applyFont="1" applyBorder="1" applyAlignment="1">
      <alignment horizontal="right" vertical="center"/>
    </xf>
    <xf numFmtId="166" fontId="47" fillId="0" borderId="43" xfId="1" applyNumberFormat="1" applyFont="1" applyBorder="1" applyAlignment="1" applyProtection="1">
      <alignment horizontal="right" vertical="center"/>
      <protection locked="0"/>
    </xf>
    <xf numFmtId="49" fontId="47" fillId="0" borderId="51" xfId="1" applyNumberFormat="1" applyFont="1" applyFill="1" applyBorder="1" applyAlignment="1">
      <alignment horizontal="left" vertical="center"/>
    </xf>
    <xf numFmtId="49" fontId="47" fillId="0" borderId="21" xfId="1" applyNumberFormat="1" applyFont="1" applyFill="1" applyBorder="1" applyAlignment="1">
      <alignment horizontal="center" vertical="center"/>
    </xf>
    <xf numFmtId="166" fontId="47" fillId="0" borderId="21" xfId="1" applyNumberFormat="1" applyFont="1" applyFill="1" applyBorder="1" applyAlignment="1">
      <alignment horizontal="right" vertical="center"/>
    </xf>
    <xf numFmtId="0" fontId="0" fillId="0" borderId="0" xfId="0" applyFill="1"/>
    <xf numFmtId="166" fontId="41" fillId="0" borderId="8" xfId="1" applyNumberFormat="1" applyFont="1" applyBorder="1" applyAlignment="1" applyProtection="1">
      <protection locked="0"/>
    </xf>
    <xf numFmtId="0" fontId="47" fillId="0" borderId="8" xfId="1" applyFont="1" applyBorder="1" applyAlignment="1" applyProtection="1">
      <alignment horizontal="center"/>
      <protection locked="0"/>
    </xf>
    <xf numFmtId="0" fontId="47" fillId="0" borderId="8" xfId="1" applyFont="1" applyBorder="1" applyAlignment="1" applyProtection="1">
      <alignment horizontal="left"/>
      <protection locked="0"/>
    </xf>
    <xf numFmtId="49" fontId="41" fillId="0" borderId="8" xfId="1" applyNumberFormat="1" applyFont="1" applyBorder="1" applyAlignment="1" applyProtection="1">
      <alignment horizontal="center"/>
      <protection locked="0"/>
    </xf>
    <xf numFmtId="49" fontId="41" fillId="0" borderId="8" xfId="1" applyNumberFormat="1" applyFont="1" applyBorder="1" applyAlignment="1" applyProtection="1">
      <alignment horizontal="left"/>
      <protection locked="0"/>
    </xf>
    <xf numFmtId="49" fontId="68" fillId="0" borderId="0" xfId="0" applyNumberFormat="1" applyFont="1" applyAlignment="1">
      <alignment horizontal="center" vertical="center"/>
    </xf>
    <xf numFmtId="166" fontId="41" fillId="0" borderId="8" xfId="1" applyNumberFormat="1" applyFont="1" applyBorder="1" applyAlignment="1" applyProtection="1">
      <alignment horizontal="right"/>
      <protection locked="0"/>
    </xf>
    <xf numFmtId="2" fontId="16" fillId="0" borderId="8" xfId="1" applyNumberFormat="1" applyFont="1" applyBorder="1" applyAlignment="1" applyProtection="1">
      <alignment horizontal="center" vertical="center"/>
      <protection locked="0"/>
    </xf>
    <xf numFmtId="7" fontId="16" fillId="0" borderId="8" xfId="1" applyNumberFormat="1" applyFont="1" applyBorder="1" applyAlignment="1" applyProtection="1">
      <alignment horizontal="center" vertical="center"/>
      <protection locked="0"/>
    </xf>
    <xf numFmtId="0" fontId="1" fillId="18" borderId="21" xfId="1" applyFont="1" applyFill="1" applyBorder="1" applyAlignment="1">
      <alignment horizontal="left" vertical="center"/>
    </xf>
    <xf numFmtId="166" fontId="54" fillId="0" borderId="21" xfId="1" applyNumberFormat="1" applyFont="1" applyFill="1" applyBorder="1" applyAlignment="1" applyProtection="1">
      <alignment horizontal="right" vertical="center"/>
      <protection locked="0"/>
    </xf>
    <xf numFmtId="0" fontId="22" fillId="18" borderId="18" xfId="1" applyFont="1" applyFill="1" applyBorder="1" applyAlignment="1">
      <alignment horizontal="left" vertical="center"/>
    </xf>
    <xf numFmtId="0" fontId="22" fillId="18" borderId="10" xfId="1" applyFont="1" applyFill="1" applyBorder="1" applyAlignment="1">
      <alignment horizontal="left" vertical="center"/>
    </xf>
    <xf numFmtId="0" fontId="22" fillId="18" borderId="9" xfId="1" applyFont="1" applyFill="1" applyBorder="1" applyAlignment="1">
      <alignment horizontal="left" vertical="center"/>
    </xf>
    <xf numFmtId="49" fontId="29" fillId="0" borderId="41" xfId="1" applyNumberFormat="1" applyFont="1" applyBorder="1" applyAlignment="1" applyProtection="1">
      <alignment horizontal="left" vertical="center"/>
      <protection locked="0"/>
    </xf>
    <xf numFmtId="49" fontId="29" fillId="0" borderId="10" xfId="1" applyNumberFormat="1" applyFont="1" applyBorder="1" applyAlignment="1" applyProtection="1">
      <alignment horizontal="left" vertical="center"/>
      <protection locked="0"/>
    </xf>
    <xf numFmtId="49" fontId="29" fillId="0" borderId="9" xfId="1" applyNumberFormat="1" applyFont="1" applyBorder="1" applyAlignment="1" applyProtection="1">
      <alignment horizontal="left" vertical="center"/>
      <protection locked="0"/>
    </xf>
    <xf numFmtId="49" fontId="29" fillId="18" borderId="75" xfId="1" applyNumberFormat="1" applyFont="1" applyFill="1" applyBorder="1" applyAlignment="1">
      <alignment horizontal="left"/>
    </xf>
    <xf numFmtId="49" fontId="29" fillId="18" borderId="76" xfId="1" applyNumberFormat="1" applyFont="1" applyFill="1" applyBorder="1" applyAlignment="1">
      <alignment horizontal="left"/>
    </xf>
    <xf numFmtId="49" fontId="29" fillId="18" borderId="55" xfId="1" applyNumberFormat="1" applyFont="1" applyFill="1" applyBorder="1" applyAlignment="1">
      <alignment horizontal="left"/>
    </xf>
    <xf numFmtId="49" fontId="29" fillId="18" borderId="23" xfId="1" applyNumberFormat="1" applyFont="1" applyFill="1" applyBorder="1" applyAlignment="1">
      <alignment horizontal="left" vertical="center"/>
    </xf>
    <xf numFmtId="49" fontId="29" fillId="18" borderId="30" xfId="1" applyNumberFormat="1" applyFont="1" applyFill="1" applyBorder="1" applyAlignment="1">
      <alignment horizontal="left" vertical="center"/>
    </xf>
    <xf numFmtId="49" fontId="29" fillId="18" borderId="31" xfId="1" applyNumberFormat="1" applyFont="1" applyFill="1" applyBorder="1" applyAlignment="1">
      <alignment horizontal="left" vertical="center"/>
    </xf>
    <xf numFmtId="49" fontId="22" fillId="18" borderId="41" xfId="1" applyNumberFormat="1" applyFont="1" applyFill="1" applyBorder="1" applyAlignment="1">
      <alignment horizontal="left" vertical="center"/>
    </xf>
    <xf numFmtId="49" fontId="22" fillId="18" borderId="10" xfId="1" applyNumberFormat="1" applyFont="1" applyFill="1" applyBorder="1" applyAlignment="1">
      <alignment horizontal="left" vertical="center"/>
    </xf>
    <xf numFmtId="49" fontId="22" fillId="18" borderId="9" xfId="1" applyNumberFormat="1" applyFont="1" applyFill="1" applyBorder="1" applyAlignment="1">
      <alignment horizontal="left" vertical="center"/>
    </xf>
    <xf numFmtId="49" fontId="20" fillId="18" borderId="30" xfId="1" applyNumberFormat="1" applyFont="1" applyFill="1" applyBorder="1" applyAlignment="1">
      <alignment horizontal="center"/>
    </xf>
    <xf numFmtId="49" fontId="41" fillId="0" borderId="41" xfId="1" applyNumberFormat="1" applyFont="1" applyBorder="1" applyAlignment="1" applyProtection="1">
      <alignment horizontal="left" vertical="center"/>
      <protection locked="0"/>
    </xf>
    <xf numFmtId="49" fontId="41" fillId="0" borderId="10" xfId="1" applyNumberFormat="1" applyFont="1" applyBorder="1" applyAlignment="1" applyProtection="1">
      <alignment horizontal="left" vertical="center"/>
      <protection locked="0"/>
    </xf>
    <xf numFmtId="49" fontId="41" fillId="0" borderId="9" xfId="1" applyNumberFormat="1" applyFont="1" applyBorder="1" applyAlignment="1" applyProtection="1">
      <alignment horizontal="left" vertical="center"/>
      <protection locked="0"/>
    </xf>
    <xf numFmtId="49" fontId="47" fillId="0" borderId="21" xfId="1" applyNumberFormat="1" applyFont="1" applyBorder="1" applyAlignment="1" applyProtection="1">
      <alignment horizontal="center" vertical="center"/>
      <protection locked="0"/>
    </xf>
    <xf numFmtId="49" fontId="47" fillId="0" borderId="21" xfId="1" applyNumberFormat="1" applyFont="1" applyBorder="1" applyAlignment="1" applyProtection="1">
      <alignment horizontal="center" vertical="center"/>
    </xf>
    <xf numFmtId="49" fontId="18" fillId="18" borderId="41" xfId="1" applyNumberFormat="1" applyFont="1" applyFill="1" applyBorder="1" applyAlignment="1">
      <alignment horizontal="left" vertical="center"/>
    </xf>
    <xf numFmtId="49" fontId="18" fillId="18" borderId="10" xfId="1" applyNumberFormat="1" applyFont="1" applyFill="1" applyBorder="1" applyAlignment="1">
      <alignment horizontal="left" vertical="center"/>
    </xf>
    <xf numFmtId="49" fontId="18" fillId="18" borderId="9" xfId="1" applyNumberFormat="1" applyFont="1" applyFill="1" applyBorder="1" applyAlignment="1">
      <alignment horizontal="left" vertical="center"/>
    </xf>
    <xf numFmtId="49" fontId="29" fillId="18" borderId="21" xfId="1" applyNumberFormat="1" applyFont="1" applyFill="1" applyBorder="1" applyAlignment="1">
      <alignment horizontal="left"/>
    </xf>
    <xf numFmtId="49" fontId="29" fillId="18" borderId="21" xfId="1" applyNumberFormat="1" applyFont="1" applyFill="1" applyBorder="1" applyAlignment="1">
      <alignment horizontal="left" vertical="center"/>
    </xf>
    <xf numFmtId="0" fontId="38" fillId="0" borderId="0" xfId="0" applyFont="1" applyAlignment="1">
      <alignment horizontal="center"/>
    </xf>
    <xf numFmtId="0" fontId="39" fillId="0" borderId="0" xfId="0" applyFont="1" applyAlignment="1">
      <alignment horizontal="center"/>
    </xf>
    <xf numFmtId="0" fontId="40" fillId="0" borderId="7" xfId="1" applyFont="1" applyBorder="1" applyAlignment="1" applyProtection="1">
      <alignment horizontal="left" vertical="center"/>
      <protection locked="0"/>
    </xf>
    <xf numFmtId="0" fontId="40" fillId="0" borderId="7" xfId="1" applyFont="1" applyBorder="1" applyAlignment="1">
      <alignment horizontal="left" vertical="center"/>
    </xf>
    <xf numFmtId="49" fontId="47" fillId="0" borderId="23" xfId="0" applyNumberFormat="1" applyFont="1" applyBorder="1" applyAlignment="1">
      <alignment horizontal="left" vertical="center"/>
    </xf>
    <xf numFmtId="49" fontId="47" fillId="0" borderId="31" xfId="0" applyNumberFormat="1" applyFont="1" applyBorder="1" applyAlignment="1">
      <alignment horizontal="left" vertical="center"/>
    </xf>
    <xf numFmtId="166" fontId="54" fillId="0" borderId="18" xfId="1" applyNumberFormat="1" applyFont="1" applyBorder="1" applyAlignment="1" applyProtection="1">
      <alignment horizontal="right" vertical="center"/>
    </xf>
    <xf numFmtId="166" fontId="54" fillId="0" borderId="9" xfId="1" applyNumberFormat="1" applyFont="1" applyBorder="1" applyAlignment="1" applyProtection="1">
      <alignment horizontal="right" vertical="center"/>
    </xf>
    <xf numFmtId="0" fontId="24" fillId="18" borderId="8" xfId="1" applyFont="1" applyFill="1" applyBorder="1" applyAlignment="1">
      <alignment horizontal="center"/>
    </xf>
    <xf numFmtId="0" fontId="24" fillId="18" borderId="50" xfId="1" applyFont="1" applyFill="1" applyBorder="1" applyAlignment="1">
      <alignment horizontal="center"/>
    </xf>
    <xf numFmtId="0" fontId="29" fillId="18" borderId="8" xfId="1" applyFont="1" applyFill="1" applyBorder="1" applyAlignment="1">
      <alignment horizontal="left"/>
    </xf>
    <xf numFmtId="0" fontId="1" fillId="18" borderId="41" xfId="1" applyFont="1" applyFill="1" applyBorder="1" applyAlignment="1">
      <alignment horizontal="left"/>
    </xf>
    <xf numFmtId="0" fontId="1" fillId="18" borderId="18" xfId="1" applyFont="1" applyFill="1" applyBorder="1" applyAlignment="1">
      <alignment horizontal="left"/>
    </xf>
    <xf numFmtId="0" fontId="29" fillId="18" borderId="44" xfId="1" applyFont="1" applyFill="1" applyBorder="1" applyAlignment="1">
      <alignment horizontal="left"/>
    </xf>
    <xf numFmtId="0" fontId="28" fillId="18" borderId="56" xfId="1" applyFont="1" applyFill="1" applyBorder="1" applyAlignment="1">
      <alignment horizontal="center"/>
    </xf>
    <xf numFmtId="49" fontId="47" fillId="0" borderId="50" xfId="1" applyNumberFormat="1" applyFont="1" applyBorder="1" applyAlignment="1" applyProtection="1">
      <alignment horizontal="left" vertical="center"/>
      <protection locked="0"/>
    </xf>
    <xf numFmtId="49" fontId="47" fillId="0" borderId="8" xfId="1" applyNumberFormat="1" applyFont="1" applyBorder="1" applyAlignment="1" applyProtection="1">
      <alignment horizontal="left" vertical="center"/>
      <protection locked="0"/>
    </xf>
    <xf numFmtId="0" fontId="19" fillId="0" borderId="8" xfId="1" applyFont="1" applyBorder="1" applyAlignment="1" applyProtection="1">
      <alignment horizontal="left"/>
      <protection locked="0"/>
    </xf>
    <xf numFmtId="49" fontId="47" fillId="0" borderId="52" xfId="1" applyNumberFormat="1" applyFont="1" applyBorder="1" applyAlignment="1" applyProtection="1">
      <alignment horizontal="left" vertical="center"/>
      <protection locked="0"/>
    </xf>
    <xf numFmtId="49" fontId="47" fillId="0" borderId="19" xfId="1" applyNumberFormat="1" applyFont="1" applyBorder="1" applyAlignment="1" applyProtection="1">
      <alignment horizontal="left" vertical="center"/>
      <protection locked="0"/>
    </xf>
    <xf numFmtId="166" fontId="47" fillId="0" borderId="23" xfId="1" applyNumberFormat="1" applyFont="1" applyBorder="1" applyAlignment="1" applyProtection="1">
      <alignment horizontal="right" vertical="center"/>
    </xf>
    <xf numFmtId="166" fontId="47" fillId="0" borderId="31" xfId="1" applyNumberFormat="1" applyFont="1" applyBorder="1" applyAlignment="1" applyProtection="1">
      <alignment horizontal="right" vertical="center"/>
    </xf>
    <xf numFmtId="49" fontId="47" fillId="0" borderId="21" xfId="1" applyNumberFormat="1" applyFont="1" applyBorder="1" applyAlignment="1" applyProtection="1">
      <alignment horizontal="left" vertical="center"/>
      <protection locked="0"/>
    </xf>
    <xf numFmtId="49" fontId="47" fillId="0" borderId="51" xfId="1" applyNumberFormat="1" applyFont="1" applyBorder="1" applyAlignment="1" applyProtection="1">
      <alignment horizontal="left" vertical="center"/>
      <protection locked="0"/>
    </xf>
    <xf numFmtId="49" fontId="47" fillId="0" borderId="58" xfId="1" applyNumberFormat="1" applyFont="1" applyBorder="1" applyAlignment="1" applyProtection="1">
      <alignment horizontal="left" vertical="center"/>
      <protection locked="0"/>
    </xf>
    <xf numFmtId="49" fontId="47" fillId="0" borderId="57" xfId="1" applyNumberFormat="1" applyFont="1" applyBorder="1" applyAlignment="1" applyProtection="1">
      <alignment horizontal="left" vertical="center"/>
      <protection locked="0"/>
    </xf>
    <xf numFmtId="49" fontId="47" fillId="0" borderId="41" xfId="1" applyNumberFormat="1" applyFont="1" applyBorder="1" applyAlignment="1" applyProtection="1">
      <alignment horizontal="left" vertical="center"/>
      <protection locked="0"/>
    </xf>
    <xf numFmtId="49" fontId="47" fillId="0" borderId="10" xfId="1" applyNumberFormat="1" applyFont="1" applyBorder="1" applyAlignment="1" applyProtection="1">
      <alignment horizontal="left" vertical="center"/>
      <protection locked="0"/>
    </xf>
    <xf numFmtId="49" fontId="47" fillId="0" borderId="9" xfId="1" applyNumberFormat="1" applyFont="1" applyBorder="1" applyAlignment="1" applyProtection="1">
      <alignment horizontal="left" vertical="center"/>
      <protection locked="0"/>
    </xf>
    <xf numFmtId="49" fontId="18" fillId="20" borderId="41" xfId="1" applyNumberFormat="1" applyFont="1" applyFill="1" applyBorder="1" applyAlignment="1" applyProtection="1">
      <alignment horizontal="left" vertical="center"/>
      <protection locked="0"/>
    </xf>
    <xf numFmtId="49" fontId="69" fillId="20" borderId="10" xfId="1" applyNumberFormat="1" applyFont="1" applyFill="1" applyBorder="1" applyAlignment="1" applyProtection="1">
      <alignment horizontal="left" vertical="center"/>
      <protection locked="0"/>
    </xf>
    <xf numFmtId="49" fontId="69" fillId="20" borderId="9" xfId="1" applyNumberFormat="1" applyFont="1" applyFill="1" applyBorder="1" applyAlignment="1" applyProtection="1">
      <alignment horizontal="left" vertical="center"/>
      <protection locked="0"/>
    </xf>
    <xf numFmtId="0" fontId="29" fillId="18" borderId="21" xfId="1" applyFont="1" applyFill="1" applyBorder="1" applyAlignment="1">
      <alignment horizontal="left" vertical="center"/>
    </xf>
    <xf numFmtId="0" fontId="1" fillId="0" borderId="0" xfId="1" applyFont="1" applyFill="1" applyBorder="1" applyAlignment="1" applyProtection="1">
      <protection locked="0"/>
    </xf>
    <xf numFmtId="0" fontId="1" fillId="0" borderId="0" xfId="1" applyFont="1" applyBorder="1" applyAlignment="1" applyProtection="1">
      <protection locked="0"/>
    </xf>
    <xf numFmtId="0" fontId="30" fillId="21" borderId="0" xfId="1" applyFont="1" applyFill="1" applyBorder="1" applyAlignment="1" applyProtection="1">
      <alignment horizontal="left" vertical="center" wrapText="1"/>
      <protection locked="0"/>
    </xf>
    <xf numFmtId="0" fontId="29" fillId="0" borderId="0" xfId="1" applyFont="1" applyAlignment="1">
      <alignment horizontal="left" vertical="center"/>
    </xf>
    <xf numFmtId="0" fontId="19" fillId="0" borderId="19" xfId="1" applyFont="1" applyBorder="1" applyAlignment="1" applyProtection="1">
      <alignment horizontal="left"/>
      <protection locked="0"/>
    </xf>
    <xf numFmtId="49" fontId="47" fillId="0" borderId="53" xfId="1" applyNumberFormat="1" applyFont="1" applyBorder="1" applyAlignment="1" applyProtection="1">
      <alignment horizontal="left" vertical="center"/>
      <protection locked="0"/>
    </xf>
    <xf numFmtId="49" fontId="47" fillId="0" borderId="17" xfId="1" applyNumberFormat="1" applyFont="1" applyBorder="1" applyAlignment="1" applyProtection="1">
      <alignment horizontal="left" vertical="center"/>
      <protection locked="0"/>
    </xf>
    <xf numFmtId="166" fontId="56" fillId="0" borderId="23" xfId="1" applyNumberFormat="1" applyFont="1" applyFill="1" applyBorder="1" applyAlignment="1">
      <alignment horizontal="right" vertical="center"/>
    </xf>
    <xf numFmtId="166" fontId="56" fillId="0" borderId="31" xfId="1" applyNumberFormat="1" applyFont="1" applyFill="1" applyBorder="1" applyAlignment="1">
      <alignment horizontal="right" vertical="center"/>
    </xf>
    <xf numFmtId="49" fontId="29" fillId="18" borderId="18" xfId="1" applyNumberFormat="1" applyFont="1" applyFill="1" applyBorder="1" applyAlignment="1">
      <alignment horizontal="left"/>
    </xf>
    <xf numFmtId="49" fontId="29" fillId="18" borderId="10" xfId="1" applyNumberFormat="1" applyFont="1" applyFill="1" applyBorder="1" applyAlignment="1">
      <alignment horizontal="left"/>
    </xf>
    <xf numFmtId="49" fontId="29" fillId="18" borderId="9" xfId="1" applyNumberFormat="1" applyFont="1" applyFill="1" applyBorder="1" applyAlignment="1">
      <alignment horizontal="left"/>
    </xf>
    <xf numFmtId="49" fontId="29" fillId="18" borderId="43" xfId="1" applyNumberFormat="1" applyFont="1" applyFill="1" applyBorder="1" applyAlignment="1">
      <alignment horizontal="left"/>
    </xf>
    <xf numFmtId="3" fontId="41" fillId="0" borderId="18" xfId="1" applyNumberFormat="1" applyFont="1" applyBorder="1" applyAlignment="1" applyProtection="1">
      <alignment horizontal="left"/>
      <protection locked="0"/>
    </xf>
    <xf numFmtId="3" fontId="41" fillId="0" borderId="10" xfId="1" applyNumberFormat="1" applyFont="1" applyBorder="1" applyAlignment="1" applyProtection="1">
      <alignment horizontal="left"/>
      <protection locked="0"/>
    </xf>
    <xf numFmtId="3" fontId="41" fillId="0" borderId="9" xfId="1" applyNumberFormat="1" applyFont="1" applyBorder="1" applyAlignment="1" applyProtection="1">
      <alignment horizontal="left"/>
      <protection locked="0"/>
    </xf>
    <xf numFmtId="49" fontId="41" fillId="0" borderId="18" xfId="1" applyNumberFormat="1" applyFont="1" applyBorder="1" applyAlignment="1" applyProtection="1">
      <alignment horizontal="center"/>
      <protection locked="0"/>
    </xf>
    <xf numFmtId="49" fontId="41" fillId="0" borderId="10" xfId="1" applyNumberFormat="1" applyFont="1" applyBorder="1" applyAlignment="1" applyProtection="1">
      <alignment horizontal="center"/>
      <protection locked="0"/>
    </xf>
    <xf numFmtId="49" fontId="41" fillId="0" borderId="9" xfId="1" applyNumberFormat="1" applyFont="1" applyBorder="1" applyAlignment="1" applyProtection="1">
      <alignment horizontal="center"/>
      <protection locked="0"/>
    </xf>
    <xf numFmtId="0" fontId="34" fillId="20" borderId="24" xfId="0" applyFont="1" applyFill="1" applyBorder="1" applyAlignment="1">
      <alignment horizontal="center"/>
    </xf>
    <xf numFmtId="0" fontId="34" fillId="20" borderId="25" xfId="0" applyFont="1" applyFill="1" applyBorder="1" applyAlignment="1">
      <alignment horizontal="center"/>
    </xf>
    <xf numFmtId="0" fontId="34" fillId="20" borderId="26" xfId="0" applyFont="1" applyFill="1" applyBorder="1" applyAlignment="1">
      <alignment horizontal="center"/>
    </xf>
    <xf numFmtId="49" fontId="1" fillId="0" borderId="23" xfId="1" applyNumberFormat="1" applyFont="1" applyFill="1" applyBorder="1" applyAlignment="1">
      <alignment horizontal="center" vertical="center"/>
    </xf>
    <xf numFmtId="49" fontId="1" fillId="0" borderId="30" xfId="1" applyNumberFormat="1" applyFont="1" applyFill="1" applyBorder="1" applyAlignment="1">
      <alignment horizontal="center" vertical="center"/>
    </xf>
    <xf numFmtId="49" fontId="1" fillId="0" borderId="73" xfId="1" applyNumberFormat="1" applyFont="1" applyFill="1" applyBorder="1" applyAlignment="1">
      <alignment horizontal="center" vertical="center"/>
    </xf>
    <xf numFmtId="0" fontId="29" fillId="18" borderId="24" xfId="1" applyFont="1" applyFill="1" applyBorder="1" applyAlignment="1">
      <alignment horizontal="left" vertical="center"/>
    </xf>
    <xf numFmtId="0" fontId="29" fillId="18" borderId="25" xfId="1" applyFont="1" applyFill="1" applyBorder="1" applyAlignment="1">
      <alignment horizontal="left" vertical="center"/>
    </xf>
    <xf numFmtId="0" fontId="1" fillId="18" borderId="8" xfId="1" applyFont="1" applyFill="1" applyBorder="1" applyAlignment="1">
      <alignment horizontal="right"/>
    </xf>
    <xf numFmtId="0" fontId="17" fillId="18" borderId="8" xfId="1" applyFont="1" applyFill="1" applyBorder="1" applyAlignment="1">
      <alignment horizontal="center"/>
    </xf>
    <xf numFmtId="49" fontId="47" fillId="0" borderId="18" xfId="1" applyNumberFormat="1" applyFont="1" applyBorder="1" applyAlignment="1" applyProtection="1">
      <alignment horizontal="left" vertical="center"/>
      <protection locked="0"/>
    </xf>
    <xf numFmtId="0" fontId="1" fillId="18" borderId="8" xfId="1" applyFont="1" applyFill="1" applyBorder="1" applyAlignment="1">
      <alignment horizontal="left"/>
    </xf>
    <xf numFmtId="49" fontId="53" fillId="0" borderId="18" xfId="1" applyNumberFormat="1" applyFont="1" applyBorder="1" applyAlignment="1" applyProtection="1">
      <alignment horizontal="left" vertical="center"/>
      <protection locked="0"/>
    </xf>
    <xf numFmtId="49" fontId="53" fillId="0" borderId="10" xfId="1" applyNumberFormat="1" applyFont="1" applyBorder="1" applyAlignment="1" applyProtection="1">
      <alignment horizontal="left" vertical="center"/>
      <protection locked="0"/>
    </xf>
    <xf numFmtId="49" fontId="53" fillId="0" borderId="9" xfId="1" applyNumberFormat="1" applyFont="1" applyBorder="1" applyAlignment="1" applyProtection="1">
      <alignment horizontal="left" vertical="center"/>
      <protection locked="0"/>
    </xf>
    <xf numFmtId="0" fontId="20" fillId="0" borderId="8" xfId="1" applyFont="1" applyBorder="1" applyAlignment="1">
      <alignment horizontal="center"/>
    </xf>
    <xf numFmtId="49" fontId="47" fillId="0" borderId="21" xfId="1" applyNumberFormat="1" applyFont="1" applyBorder="1" applyAlignment="1">
      <alignment horizontal="left" vertical="center"/>
    </xf>
    <xf numFmtId="49" fontId="53" fillId="0" borderId="8" xfId="1" applyNumberFormat="1" applyFont="1" applyBorder="1" applyAlignment="1" applyProtection="1">
      <alignment horizontal="left" vertical="center"/>
      <protection locked="0"/>
    </xf>
    <xf numFmtId="0" fontId="1" fillId="0" borderId="0" xfId="1" applyFont="1" applyFill="1" applyBorder="1" applyAlignment="1">
      <alignment horizontal="center"/>
    </xf>
    <xf numFmtId="0" fontId="20" fillId="0" borderId="8" xfId="1" applyFont="1" applyBorder="1" applyAlignment="1">
      <alignment horizontal="left"/>
    </xf>
    <xf numFmtId="0" fontId="22" fillId="7" borderId="8" xfId="1" applyFont="1" applyFill="1" applyBorder="1" applyAlignment="1">
      <alignment horizontal="center"/>
    </xf>
    <xf numFmtId="0" fontId="17" fillId="18" borderId="39" xfId="1" applyFont="1" applyFill="1" applyBorder="1" applyAlignment="1">
      <alignment horizontal="center"/>
    </xf>
    <xf numFmtId="0" fontId="20" fillId="0" borderId="54" xfId="1" applyFont="1" applyBorder="1" applyAlignment="1">
      <alignment horizontal="left"/>
    </xf>
    <xf numFmtId="0" fontId="17" fillId="0" borderId="17" xfId="1" applyFont="1" applyBorder="1" applyAlignment="1">
      <alignment horizontal="center"/>
    </xf>
    <xf numFmtId="0" fontId="1" fillId="0" borderId="0" xfId="1" applyFont="1" applyBorder="1" applyAlignment="1">
      <alignment horizontal="center"/>
    </xf>
    <xf numFmtId="0" fontId="1" fillId="0" borderId="8" xfId="1" applyFont="1" applyBorder="1" applyAlignment="1">
      <alignment horizontal="center"/>
    </xf>
    <xf numFmtId="0" fontId="20" fillId="0" borderId="28" xfId="1" applyFont="1" applyBorder="1" applyAlignment="1">
      <alignment horizontal="center"/>
    </xf>
    <xf numFmtId="0" fontId="20" fillId="0" borderId="42" xfId="1" applyFont="1" applyBorder="1" applyAlignment="1">
      <alignment horizontal="center"/>
    </xf>
    <xf numFmtId="0" fontId="19" fillId="0" borderId="14" xfId="1" applyFont="1" applyBorder="1" applyAlignment="1" applyProtection="1">
      <alignment horizontal="left" vertical="center"/>
      <protection locked="0"/>
    </xf>
    <xf numFmtId="0" fontId="22" fillId="0" borderId="18" xfId="1" applyFont="1" applyBorder="1" applyAlignment="1">
      <alignment horizontal="left" vertical="center"/>
    </xf>
    <xf numFmtId="0" fontId="22" fillId="0" borderId="9" xfId="1" applyFont="1" applyBorder="1" applyAlignment="1">
      <alignment horizontal="left" vertical="center"/>
    </xf>
    <xf numFmtId="0" fontId="16" fillId="0" borderId="19" xfId="1" applyFont="1" applyBorder="1" applyAlignment="1" applyProtection="1">
      <alignment vertical="center"/>
      <protection locked="0"/>
    </xf>
    <xf numFmtId="0" fontId="1" fillId="18" borderId="8" xfId="1" applyFont="1" applyFill="1" applyBorder="1" applyAlignment="1">
      <alignment horizontal="center"/>
    </xf>
    <xf numFmtId="0" fontId="17" fillId="0" borderId="8" xfId="1" applyFont="1" applyBorder="1" applyAlignment="1">
      <alignment horizontal="center"/>
    </xf>
    <xf numFmtId="0" fontId="16" fillId="0" borderId="21" xfId="1" applyFont="1" applyBorder="1" applyAlignment="1" applyProtection="1">
      <alignment vertical="center"/>
      <protection locked="0"/>
    </xf>
    <xf numFmtId="0" fontId="17" fillId="18" borderId="19" xfId="1" applyFont="1" applyFill="1" applyBorder="1" applyAlignment="1">
      <alignment horizontal="left"/>
    </xf>
    <xf numFmtId="0" fontId="17" fillId="0" borderId="23" xfId="1" applyFont="1" applyBorder="1" applyAlignment="1">
      <alignment horizontal="center" vertical="center"/>
    </xf>
    <xf numFmtId="0" fontId="17" fillId="0" borderId="30" xfId="1" applyFont="1" applyBorder="1" applyAlignment="1">
      <alignment horizontal="center" vertical="center"/>
    </xf>
    <xf numFmtId="0" fontId="17" fillId="0" borderId="31" xfId="1" applyFont="1" applyBorder="1" applyAlignment="1">
      <alignment horizontal="center" vertical="center"/>
    </xf>
    <xf numFmtId="0" fontId="43" fillId="0" borderId="23" xfId="0" applyFont="1" applyBorder="1" applyAlignment="1">
      <alignment horizontal="center"/>
    </xf>
    <xf numFmtId="0" fontId="43" fillId="0" borderId="30" xfId="0" applyFont="1" applyBorder="1" applyAlignment="1">
      <alignment horizontal="center"/>
    </xf>
    <xf numFmtId="0" fontId="43" fillId="0" borderId="31" xfId="0" applyFont="1" applyBorder="1" applyAlignment="1">
      <alignment horizontal="center"/>
    </xf>
    <xf numFmtId="0" fontId="24" fillId="0" borderId="0" xfId="1" applyFont="1" applyBorder="1" applyAlignment="1">
      <alignment horizontal="center" vertical="center"/>
    </xf>
    <xf numFmtId="0" fontId="22" fillId="0" borderId="0" xfId="1" applyFont="1" applyBorder="1" applyAlignment="1">
      <alignment horizontal="center" vertical="center"/>
    </xf>
    <xf numFmtId="0" fontId="25" fillId="0" borderId="7" xfId="1" applyFont="1" applyBorder="1" applyAlignment="1" applyProtection="1">
      <alignment horizontal="left"/>
      <protection locked="0"/>
    </xf>
    <xf numFmtId="14" fontId="15" fillId="0" borderId="56" xfId="1" applyNumberFormat="1" applyFont="1" applyBorder="1" applyAlignment="1" applyProtection="1">
      <alignment horizontal="center" vertical="center"/>
      <protection locked="0"/>
    </xf>
    <xf numFmtId="0" fontId="17" fillId="18" borderId="21" xfId="1" applyFont="1" applyFill="1" applyBorder="1" applyAlignment="1">
      <alignment horizontal="left"/>
    </xf>
    <xf numFmtId="0" fontId="17" fillId="18" borderId="0" xfId="1" applyFont="1" applyFill="1" applyBorder="1" applyAlignment="1">
      <alignment horizontal="left"/>
    </xf>
    <xf numFmtId="0" fontId="1" fillId="0" borderId="0" xfId="1" applyBorder="1" applyAlignment="1">
      <alignment horizontal="left"/>
    </xf>
    <xf numFmtId="0" fontId="26" fillId="0" borderId="0" xfId="1" applyFont="1" applyBorder="1" applyAlignment="1">
      <alignment horizontal="left"/>
    </xf>
    <xf numFmtId="0" fontId="17" fillId="0" borderId="19" xfId="1" applyFont="1" applyBorder="1" applyAlignment="1">
      <alignment horizontal="center"/>
    </xf>
    <xf numFmtId="0" fontId="17" fillId="18" borderId="8" xfId="1" applyFont="1" applyFill="1" applyBorder="1" applyAlignment="1">
      <alignment horizontal="left"/>
    </xf>
    <xf numFmtId="0" fontId="1" fillId="0" borderId="0" xfId="1" applyFont="1" applyAlignment="1">
      <alignment horizontal="center"/>
    </xf>
    <xf numFmtId="0" fontId="0" fillId="0" borderId="21" xfId="0" applyBorder="1" applyAlignment="1">
      <alignment vertical="center"/>
    </xf>
    <xf numFmtId="0" fontId="1" fillId="18" borderId="21" xfId="1" applyFill="1" applyBorder="1" applyAlignment="1">
      <alignment horizontal="left"/>
    </xf>
    <xf numFmtId="0" fontId="16" fillId="0" borderId="54" xfId="1" applyFont="1" applyBorder="1" applyAlignment="1" applyProtection="1">
      <alignment vertical="center"/>
      <protection locked="0"/>
    </xf>
    <xf numFmtId="0" fontId="17" fillId="0" borderId="18" xfId="1" applyFont="1" applyBorder="1" applyAlignment="1">
      <alignment horizontal="left"/>
    </xf>
    <xf numFmtId="0" fontId="17" fillId="0" borderId="9" xfId="1" applyFont="1" applyBorder="1" applyAlignment="1">
      <alignment horizontal="left"/>
    </xf>
    <xf numFmtId="0" fontId="1" fillId="18" borderId="58" xfId="1" applyFont="1" applyFill="1" applyBorder="1" applyAlignment="1">
      <alignment horizontal="center"/>
    </xf>
    <xf numFmtId="166" fontId="53" fillId="0" borderId="18" xfId="1" applyNumberFormat="1" applyFont="1" applyBorder="1" applyAlignment="1" applyProtection="1">
      <alignment horizontal="right" vertical="center"/>
      <protection locked="0"/>
    </xf>
    <xf numFmtId="166" fontId="53" fillId="0" borderId="9" xfId="1" applyNumberFormat="1" applyFont="1" applyBorder="1" applyAlignment="1" applyProtection="1">
      <alignment horizontal="right" vertical="center"/>
      <protection locked="0"/>
    </xf>
    <xf numFmtId="0" fontId="0" fillId="0" borderId="23"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17" fillId="0" borderId="23" xfId="1" applyFont="1" applyFill="1" applyBorder="1" applyAlignment="1">
      <alignment horizontal="center"/>
    </xf>
    <xf numFmtId="0" fontId="17" fillId="0" borderId="30" xfId="1" applyFont="1" applyFill="1" applyBorder="1" applyAlignment="1">
      <alignment horizontal="center"/>
    </xf>
    <xf numFmtId="0" fontId="17" fillId="0" borderId="31" xfId="1" applyFont="1" applyFill="1" applyBorder="1" applyAlignment="1">
      <alignment horizontal="center"/>
    </xf>
    <xf numFmtId="0" fontId="22" fillId="0" borderId="72" xfId="1" applyFont="1" applyBorder="1" applyAlignment="1">
      <alignment horizontal="left" vertical="center"/>
    </xf>
    <xf numFmtId="0" fontId="22" fillId="0" borderId="30" xfId="1" applyFont="1" applyBorder="1" applyAlignment="1">
      <alignment horizontal="left" vertical="center"/>
    </xf>
    <xf numFmtId="0" fontId="22" fillId="0" borderId="73" xfId="1" applyFont="1" applyBorder="1" applyAlignment="1">
      <alignment horizontal="left" vertical="center"/>
    </xf>
    <xf numFmtId="166" fontId="53" fillId="0" borderId="63" xfId="1" applyNumberFormat="1" applyFont="1" applyBorder="1" applyAlignment="1" applyProtection="1">
      <alignment horizontal="right" vertical="center"/>
      <protection locked="0"/>
    </xf>
    <xf numFmtId="166" fontId="53" fillId="0" borderId="64" xfId="1" applyNumberFormat="1" applyFont="1" applyBorder="1" applyAlignment="1" applyProtection="1">
      <alignment horizontal="right" vertical="center"/>
      <protection locked="0"/>
    </xf>
    <xf numFmtId="166" fontId="56" fillId="0" borderId="59" xfId="1" applyNumberFormat="1" applyFont="1" applyBorder="1" applyAlignment="1">
      <alignment horizontal="right" vertical="center"/>
    </xf>
    <xf numFmtId="166" fontId="56" fillId="0" borderId="57" xfId="1" applyNumberFormat="1" applyFont="1" applyBorder="1" applyAlignment="1">
      <alignment horizontal="right" vertical="center"/>
    </xf>
    <xf numFmtId="49" fontId="47" fillId="0" borderId="23" xfId="1" applyNumberFormat="1" applyFont="1" applyBorder="1" applyAlignment="1" applyProtection="1">
      <alignment horizontal="left" vertical="center"/>
      <protection locked="0"/>
    </xf>
    <xf numFmtId="49" fontId="47" fillId="0" borderId="30" xfId="1" applyNumberFormat="1" applyFont="1" applyBorder="1" applyAlignment="1" applyProtection="1">
      <alignment horizontal="left" vertical="center"/>
      <protection locked="0"/>
    </xf>
    <xf numFmtId="49" fontId="47" fillId="0" borderId="31" xfId="1" applyNumberFormat="1" applyFont="1" applyBorder="1" applyAlignment="1" applyProtection="1">
      <alignment horizontal="left" vertical="center"/>
      <protection locked="0"/>
    </xf>
    <xf numFmtId="49" fontId="46" fillId="0" borderId="23" xfId="1" applyNumberFormat="1" applyFont="1" applyBorder="1" applyAlignment="1" applyProtection="1">
      <alignment horizontal="left" vertical="center"/>
      <protection locked="0"/>
    </xf>
    <xf numFmtId="49" fontId="46" fillId="0" borderId="30" xfId="1" applyNumberFormat="1" applyFont="1" applyBorder="1" applyAlignment="1" applyProtection="1">
      <alignment horizontal="left" vertical="center"/>
      <protection locked="0"/>
    </xf>
    <xf numFmtId="49" fontId="46" fillId="0" borderId="31" xfId="1" applyNumberFormat="1" applyFont="1" applyBorder="1" applyAlignment="1" applyProtection="1">
      <alignment horizontal="left" vertical="center"/>
      <protection locked="0"/>
    </xf>
    <xf numFmtId="49" fontId="30" fillId="0" borderId="28" xfId="1" applyNumberFormat="1" applyFont="1" applyBorder="1" applyAlignment="1">
      <alignment horizontal="left" vertical="center"/>
    </xf>
    <xf numFmtId="49" fontId="30" fillId="0" borderId="56" xfId="1" applyNumberFormat="1" applyFont="1" applyBorder="1" applyAlignment="1">
      <alignment horizontal="left" vertical="center"/>
    </xf>
    <xf numFmtId="49" fontId="30" fillId="0" borderId="29" xfId="1" applyNumberFormat="1" applyFont="1" applyBorder="1" applyAlignment="1">
      <alignment horizontal="left" vertical="center"/>
    </xf>
    <xf numFmtId="49" fontId="30" fillId="0" borderId="23" xfId="1" applyNumberFormat="1" applyFont="1" applyBorder="1" applyAlignment="1">
      <alignment horizontal="left" vertical="center"/>
    </xf>
    <xf numFmtId="49" fontId="30" fillId="0" borderId="30" xfId="1" applyNumberFormat="1" applyFont="1" applyBorder="1" applyAlignment="1">
      <alignment horizontal="left" vertical="center"/>
    </xf>
    <xf numFmtId="49" fontId="30" fillId="0" borderId="31" xfId="1" applyNumberFormat="1" applyFont="1" applyBorder="1" applyAlignment="1">
      <alignment horizontal="left" vertical="center"/>
    </xf>
    <xf numFmtId="0" fontId="30" fillId="0" borderId="21" xfId="1" applyFont="1" applyBorder="1" applyAlignment="1">
      <alignment horizontal="center"/>
    </xf>
    <xf numFmtId="49" fontId="30" fillId="0" borderId="23" xfId="1" applyNumberFormat="1" applyFont="1" applyBorder="1" applyAlignment="1" applyProtection="1">
      <alignment horizontal="left" vertical="center"/>
      <protection locked="0"/>
    </xf>
    <xf numFmtId="49" fontId="30" fillId="0" borderId="30" xfId="1" applyNumberFormat="1" applyFont="1" applyBorder="1" applyAlignment="1" applyProtection="1">
      <alignment horizontal="left" vertical="center"/>
      <protection locked="0"/>
    </xf>
    <xf numFmtId="49" fontId="30" fillId="0" borderId="31" xfId="1" applyNumberFormat="1" applyFont="1" applyBorder="1" applyAlignment="1" applyProtection="1">
      <alignment horizontal="left" vertical="center"/>
      <protection locked="0"/>
    </xf>
    <xf numFmtId="49" fontId="47" fillId="0" borderId="23" xfId="1" applyNumberFormat="1" applyFont="1" applyBorder="1" applyAlignment="1">
      <alignment horizontal="left" vertical="center"/>
    </xf>
    <xf numFmtId="49" fontId="47" fillId="0" borderId="30" xfId="1" applyNumberFormat="1" applyFont="1" applyBorder="1" applyAlignment="1">
      <alignment horizontal="left" vertical="center"/>
    </xf>
    <xf numFmtId="49" fontId="47" fillId="0" borderId="31" xfId="1" applyNumberFormat="1" applyFont="1" applyBorder="1" applyAlignment="1">
      <alignment horizontal="left" vertical="center"/>
    </xf>
    <xf numFmtId="49" fontId="46" fillId="0" borderId="78" xfId="1" applyNumberFormat="1" applyFont="1" applyBorder="1" applyAlignment="1" applyProtection="1">
      <alignment horizontal="left" vertical="center"/>
      <protection locked="0"/>
    </xf>
    <xf numFmtId="49" fontId="46" fillId="0" borderId="35" xfId="1" applyNumberFormat="1" applyFont="1" applyBorder="1" applyAlignment="1" applyProtection="1">
      <alignment horizontal="left" vertical="center"/>
      <protection locked="0"/>
    </xf>
    <xf numFmtId="49" fontId="46" fillId="0" borderId="80" xfId="1" applyNumberFormat="1" applyFont="1" applyBorder="1" applyAlignment="1" applyProtection="1">
      <alignment horizontal="left" vertical="center"/>
      <protection locked="0"/>
    </xf>
    <xf numFmtId="49" fontId="41" fillId="0" borderId="23" xfId="1" applyNumberFormat="1" applyFont="1" applyBorder="1" applyAlignment="1" applyProtection="1">
      <alignment horizontal="left" vertical="center"/>
      <protection locked="0"/>
    </xf>
    <xf numFmtId="49" fontId="41" fillId="0" borderId="30" xfId="1" applyNumberFormat="1" applyFont="1" applyBorder="1" applyAlignment="1" applyProtection="1">
      <alignment horizontal="left" vertical="center"/>
      <protection locked="0"/>
    </xf>
    <xf numFmtId="49" fontId="41" fillId="0" borderId="31" xfId="1" applyNumberFormat="1" applyFont="1" applyBorder="1" applyAlignment="1" applyProtection="1">
      <alignment horizontal="left" vertical="center"/>
      <protection locked="0"/>
    </xf>
    <xf numFmtId="0" fontId="30" fillId="0" borderId="34" xfId="1" applyFont="1" applyBorder="1" applyAlignment="1">
      <alignment horizontal="center" wrapText="1"/>
    </xf>
    <xf numFmtId="0" fontId="29" fillId="0" borderId="34" xfId="1" applyFont="1" applyBorder="1" applyAlignment="1">
      <alignment horizontal="center" wrapText="1"/>
    </xf>
    <xf numFmtId="0" fontId="29" fillId="0" borderId="0" xfId="1" applyFont="1" applyBorder="1" applyAlignment="1">
      <alignment vertical="top"/>
    </xf>
    <xf numFmtId="0" fontId="29" fillId="0" borderId="0" xfId="1" applyFont="1" applyAlignment="1">
      <alignment vertical="top"/>
    </xf>
    <xf numFmtId="49" fontId="22" fillId="0" borderId="23" xfId="1" applyNumberFormat="1" applyFont="1" applyBorder="1" applyAlignment="1">
      <alignment horizontal="left" vertical="center"/>
    </xf>
    <xf numFmtId="49" fontId="22" fillId="0" borderId="30" xfId="1" applyNumberFormat="1" applyFont="1" applyBorder="1" applyAlignment="1">
      <alignment horizontal="left" vertical="center"/>
    </xf>
    <xf numFmtId="49" fontId="22" fillId="0" borderId="31" xfId="1" applyNumberFormat="1" applyFont="1" applyBorder="1" applyAlignment="1">
      <alignment horizontal="left" vertical="center"/>
    </xf>
    <xf numFmtId="0" fontId="30" fillId="0" borderId="21" xfId="1" applyFont="1" applyBorder="1" applyAlignment="1">
      <alignment horizontal="center" vertical="center"/>
    </xf>
    <xf numFmtId="0" fontId="30" fillId="0" borderId="23" xfId="1" applyFont="1" applyBorder="1" applyAlignment="1">
      <alignment horizontal="left" vertical="center"/>
    </xf>
    <xf numFmtId="0" fontId="30" fillId="0" borderId="74" xfId="1" applyFont="1" applyBorder="1" applyAlignment="1">
      <alignment horizontal="left" vertical="center"/>
    </xf>
    <xf numFmtId="0" fontId="30" fillId="0" borderId="31" xfId="1" applyFont="1" applyBorder="1" applyAlignment="1">
      <alignment horizontal="left" vertical="center"/>
    </xf>
    <xf numFmtId="0" fontId="30" fillId="0" borderId="21" xfId="1" applyFont="1" applyBorder="1" applyAlignment="1">
      <alignment horizontal="left" vertical="center"/>
    </xf>
    <xf numFmtId="0" fontId="30" fillId="0" borderId="23" xfId="1" applyFont="1" applyBorder="1" applyAlignment="1">
      <alignment horizontal="right"/>
    </xf>
    <xf numFmtId="0" fontId="30" fillId="0" borderId="30" xfId="1" applyFont="1" applyBorder="1" applyAlignment="1">
      <alignment horizontal="right"/>
    </xf>
    <xf numFmtId="0" fontId="30" fillId="0" borderId="31" xfId="1" applyFont="1" applyBorder="1" applyAlignment="1">
      <alignment horizontal="right"/>
    </xf>
    <xf numFmtId="0" fontId="30" fillId="0" borderId="23" xfId="1" applyFont="1" applyBorder="1" applyAlignment="1">
      <alignment horizontal="center"/>
    </xf>
    <xf numFmtId="0" fontId="30" fillId="0" borderId="30" xfId="1" applyFont="1" applyBorder="1" applyAlignment="1">
      <alignment horizontal="center"/>
    </xf>
    <xf numFmtId="0" fontId="30" fillId="0" borderId="31" xfId="1" applyFont="1" applyBorder="1" applyAlignment="1">
      <alignment horizontal="center"/>
    </xf>
    <xf numFmtId="0" fontId="30" fillId="0" borderId="30" xfId="1" applyFont="1" applyBorder="1" applyAlignment="1">
      <alignment horizontal="left" vertical="center"/>
    </xf>
    <xf numFmtId="49" fontId="44" fillId="0" borderId="23" xfId="0" applyNumberFormat="1" applyFont="1" applyBorder="1" applyAlignment="1">
      <alignment horizontal="left" vertical="center"/>
    </xf>
    <xf numFmtId="49" fontId="44" fillId="0" borderId="30" xfId="0" applyNumberFormat="1" applyFont="1" applyBorder="1" applyAlignment="1">
      <alignment horizontal="left" vertical="center"/>
    </xf>
    <xf numFmtId="49" fontId="44" fillId="0" borderId="31" xfId="0" applyNumberFormat="1" applyFont="1" applyBorder="1" applyAlignment="1">
      <alignment horizontal="left" vertical="center"/>
    </xf>
    <xf numFmtId="0" fontId="30" fillId="0" borderId="0" xfId="1" applyFont="1" applyBorder="1" applyAlignment="1">
      <alignment horizontal="center"/>
    </xf>
    <xf numFmtId="0" fontId="30" fillId="0" borderId="0" xfId="1" applyFont="1" applyBorder="1" applyAlignment="1">
      <alignment horizontal="center" vertical="center"/>
    </xf>
    <xf numFmtId="0" fontId="29" fillId="0" borderId="0" xfId="1" applyFont="1" applyBorder="1" applyAlignment="1">
      <alignment horizontal="center"/>
    </xf>
    <xf numFmtId="0" fontId="0" fillId="0" borderId="0" xfId="0" applyAlignment="1">
      <alignment horizontal="center"/>
    </xf>
    <xf numFmtId="49" fontId="30" fillId="0" borderId="56" xfId="1" applyNumberFormat="1" applyFont="1" applyBorder="1" applyAlignment="1">
      <alignment horizontal="center" vertical="center"/>
    </xf>
    <xf numFmtId="0" fontId="30" fillId="0" borderId="58" xfId="1" applyFont="1" applyBorder="1" applyAlignment="1">
      <alignment horizontal="right" vertical="center"/>
    </xf>
    <xf numFmtId="0" fontId="30" fillId="0" borderId="57" xfId="1" applyFont="1" applyBorder="1" applyAlignment="1">
      <alignment horizontal="right" vertical="center"/>
    </xf>
    <xf numFmtId="49" fontId="48" fillId="0" borderId="59" xfId="1" applyNumberFormat="1" applyFont="1" applyBorder="1" applyAlignment="1" applyProtection="1">
      <alignment horizontal="left" vertical="center"/>
      <protection locked="0"/>
    </xf>
    <xf numFmtId="49" fontId="48" fillId="0" borderId="58" xfId="1" applyNumberFormat="1" applyFont="1" applyBorder="1" applyAlignment="1" applyProtection="1">
      <alignment horizontal="left" vertical="center"/>
      <protection locked="0"/>
    </xf>
    <xf numFmtId="49" fontId="48" fillId="0" borderId="57" xfId="1" applyNumberFormat="1" applyFont="1" applyBorder="1" applyAlignment="1" applyProtection="1">
      <alignment horizontal="left" vertical="center"/>
      <protection locked="0"/>
    </xf>
    <xf numFmtId="49" fontId="48" fillId="0" borderId="18" xfId="1" applyNumberFormat="1" applyFont="1" applyBorder="1" applyAlignment="1" applyProtection="1">
      <alignment horizontal="left" vertical="center"/>
      <protection locked="0"/>
    </xf>
    <xf numFmtId="49" fontId="48" fillId="0" borderId="10" xfId="1" applyNumberFormat="1" applyFont="1" applyBorder="1" applyAlignment="1" applyProtection="1">
      <alignment horizontal="left" vertical="center"/>
      <protection locked="0"/>
    </xf>
    <xf numFmtId="49" fontId="48" fillId="0" borderId="9" xfId="1" applyNumberFormat="1" applyFont="1" applyBorder="1" applyAlignment="1" applyProtection="1">
      <alignment horizontal="left" vertical="center"/>
      <protection locked="0"/>
    </xf>
    <xf numFmtId="49" fontId="48" fillId="0" borderId="13" xfId="1" applyNumberFormat="1" applyFont="1" applyBorder="1" applyAlignment="1" applyProtection="1">
      <alignment horizontal="left" vertical="center"/>
      <protection locked="0"/>
    </xf>
    <xf numFmtId="49" fontId="48" fillId="0" borderId="14" xfId="1" applyNumberFormat="1" applyFont="1" applyBorder="1" applyAlignment="1" applyProtection="1">
      <alignment horizontal="left" vertical="center"/>
      <protection locked="0"/>
    </xf>
    <xf numFmtId="49" fontId="48" fillId="0" borderId="15" xfId="1" applyNumberFormat="1" applyFont="1" applyBorder="1" applyAlignment="1" applyProtection="1">
      <alignment horizontal="left" vertical="center"/>
      <protection locked="0"/>
    </xf>
    <xf numFmtId="0" fontId="30" fillId="0" borderId="21" xfId="1" applyFont="1" applyBorder="1" applyAlignment="1">
      <alignment horizontal="left"/>
    </xf>
    <xf numFmtId="0" fontId="22" fillId="0" borderId="21" xfId="1" applyFont="1" applyBorder="1" applyAlignment="1">
      <alignment horizontal="left"/>
    </xf>
    <xf numFmtId="0" fontId="1" fillId="0" borderId="0" xfId="48" applyFont="1" applyAlignment="1" applyProtection="1">
      <alignment horizontal="center"/>
    </xf>
    <xf numFmtId="0" fontId="29" fillId="0" borderId="0" xfId="48" applyFont="1" applyAlignment="1" applyProtection="1">
      <alignment horizontal="center"/>
    </xf>
    <xf numFmtId="0" fontId="48" fillId="0" borderId="56" xfId="48" applyFont="1" applyBorder="1" applyAlignment="1" applyProtection="1">
      <alignment horizontal="center"/>
    </xf>
    <xf numFmtId="0" fontId="53" fillId="0" borderId="56" xfId="48" applyFont="1" applyBorder="1" applyAlignment="1">
      <alignment horizontal="center"/>
    </xf>
    <xf numFmtId="0" fontId="66" fillId="0" borderId="38" xfId="0" applyFont="1" applyBorder="1" applyAlignment="1">
      <alignment horizontal="center"/>
    </xf>
    <xf numFmtId="0" fontId="43" fillId="0" borderId="0" xfId="48" applyFont="1" applyAlignment="1" applyProtection="1">
      <alignment horizontal="center"/>
      <protection locked="0"/>
    </xf>
    <xf numFmtId="0" fontId="17" fillId="0" borderId="0" xfId="48" quotePrefix="1" applyFont="1" applyBorder="1" applyAlignment="1" applyProtection="1">
      <alignment horizontal="left"/>
    </xf>
    <xf numFmtId="49" fontId="1" fillId="0" borderId="56" xfId="48" quotePrefix="1" applyNumberFormat="1" applyFont="1" applyBorder="1" applyAlignment="1" applyProtection="1">
      <alignment horizontal="left"/>
    </xf>
    <xf numFmtId="49" fontId="19" fillId="0" borderId="56" xfId="48" applyNumberFormat="1" applyFont="1" applyBorder="1" applyAlignment="1" applyProtection="1">
      <alignment horizontal="left"/>
      <protection locked="0"/>
    </xf>
    <xf numFmtId="0" fontId="19" fillId="0" borderId="56" xfId="48" applyFont="1" applyBorder="1" applyAlignment="1" applyProtection="1">
      <alignment horizontal="left"/>
      <protection locked="0"/>
    </xf>
  </cellXfs>
  <cellStyles count="49">
    <cellStyle name="20% - Accent1 2" xfId="2" xr:uid="{00000000-0005-0000-0000-000000000000}"/>
    <cellStyle name="20% - Accent2 2" xfId="3" xr:uid="{00000000-0005-0000-0000-000001000000}"/>
    <cellStyle name="20% - Accent3 2" xfId="4" xr:uid="{00000000-0005-0000-0000-000002000000}"/>
    <cellStyle name="20% - Accent4 2" xfId="5" xr:uid="{00000000-0005-0000-0000-000003000000}"/>
    <cellStyle name="20% - Accent5 2" xfId="6" xr:uid="{00000000-0005-0000-0000-000004000000}"/>
    <cellStyle name="20% - Accent6 2" xfId="7" xr:uid="{00000000-0005-0000-0000-000005000000}"/>
    <cellStyle name="40% - Accent1 2" xfId="8" xr:uid="{00000000-0005-0000-0000-000006000000}"/>
    <cellStyle name="40% - Accent2 2" xfId="9" xr:uid="{00000000-0005-0000-0000-000007000000}"/>
    <cellStyle name="40% - Accent3 2" xfId="10" xr:uid="{00000000-0005-0000-0000-000008000000}"/>
    <cellStyle name="40% - Accent4 2" xfId="11" xr:uid="{00000000-0005-0000-0000-000009000000}"/>
    <cellStyle name="40% - Accent5 2" xfId="12" xr:uid="{00000000-0005-0000-0000-00000A000000}"/>
    <cellStyle name="40% - Accent6 2" xfId="13" xr:uid="{00000000-0005-0000-0000-00000B000000}"/>
    <cellStyle name="60% - Accent1 2" xfId="14" xr:uid="{00000000-0005-0000-0000-00000C000000}"/>
    <cellStyle name="60% - Accent2 2" xfId="15" xr:uid="{00000000-0005-0000-0000-00000D000000}"/>
    <cellStyle name="60% - Accent3 2" xfId="16" xr:uid="{00000000-0005-0000-0000-00000E000000}"/>
    <cellStyle name="60% - Accent4 2" xfId="17" xr:uid="{00000000-0005-0000-0000-00000F000000}"/>
    <cellStyle name="60% - Accent5 2" xfId="18" xr:uid="{00000000-0005-0000-0000-000010000000}"/>
    <cellStyle name="60% - Accent6 2" xfId="19" xr:uid="{00000000-0005-0000-0000-000011000000}"/>
    <cellStyle name="Accent1 2" xfId="20" xr:uid="{00000000-0005-0000-0000-000012000000}"/>
    <cellStyle name="Accent2 2" xfId="21" xr:uid="{00000000-0005-0000-0000-000013000000}"/>
    <cellStyle name="Accent3 2" xfId="22" xr:uid="{00000000-0005-0000-0000-000014000000}"/>
    <cellStyle name="Accent4 2" xfId="23" xr:uid="{00000000-0005-0000-0000-000015000000}"/>
    <cellStyle name="Accent5 2" xfId="24" xr:uid="{00000000-0005-0000-0000-000016000000}"/>
    <cellStyle name="Accent6 2" xfId="25" xr:uid="{00000000-0005-0000-0000-000017000000}"/>
    <cellStyle name="Bad 2" xfId="26" xr:uid="{00000000-0005-0000-0000-000018000000}"/>
    <cellStyle name="Calculation 2" xfId="27" xr:uid="{00000000-0005-0000-0000-000019000000}"/>
    <cellStyle name="Check Cell 2" xfId="28" xr:uid="{00000000-0005-0000-0000-00001A000000}"/>
    <cellStyle name="Comma0" xfId="29" xr:uid="{00000000-0005-0000-0000-00001B000000}"/>
    <cellStyle name="Currency0" xfId="30" xr:uid="{00000000-0005-0000-0000-00001C000000}"/>
    <cellStyle name="Date" xfId="31" xr:uid="{00000000-0005-0000-0000-00001D000000}"/>
    <cellStyle name="Explanatory Text 2" xfId="32" xr:uid="{00000000-0005-0000-0000-00001E000000}"/>
    <cellStyle name="Fixed" xfId="33" xr:uid="{00000000-0005-0000-0000-00001F000000}"/>
    <cellStyle name="Good 2" xfId="34" xr:uid="{00000000-0005-0000-0000-000020000000}"/>
    <cellStyle name="Heading 1 2" xfId="35" xr:uid="{00000000-0005-0000-0000-000021000000}"/>
    <cellStyle name="Heading 2 2" xfId="36" xr:uid="{00000000-0005-0000-0000-000022000000}"/>
    <cellStyle name="Heading 3 2" xfId="37" xr:uid="{00000000-0005-0000-0000-000023000000}"/>
    <cellStyle name="Heading 4 2" xfId="38" xr:uid="{00000000-0005-0000-0000-000024000000}"/>
    <cellStyle name="Input 2" xfId="39" xr:uid="{00000000-0005-0000-0000-000025000000}"/>
    <cellStyle name="Linked Cell 2" xfId="40" xr:uid="{00000000-0005-0000-0000-000026000000}"/>
    <cellStyle name="Neutral 2" xfId="41" xr:uid="{00000000-0005-0000-0000-000027000000}"/>
    <cellStyle name="Normal" xfId="0" builtinId="0"/>
    <cellStyle name="Normal 2" xfId="1" xr:uid="{00000000-0005-0000-0000-000029000000}"/>
    <cellStyle name="Normal 3" xfId="48" xr:uid="{00000000-0005-0000-0000-00002A000000}"/>
    <cellStyle name="Note 2" xfId="42" xr:uid="{00000000-0005-0000-0000-00002B000000}"/>
    <cellStyle name="Output 2" xfId="43" xr:uid="{00000000-0005-0000-0000-00002C000000}"/>
    <cellStyle name="Percent 2" xfId="47" xr:uid="{00000000-0005-0000-0000-00002D000000}"/>
    <cellStyle name="Title 2" xfId="44" xr:uid="{00000000-0005-0000-0000-00002E000000}"/>
    <cellStyle name="Total 2" xfId="45" xr:uid="{00000000-0005-0000-0000-00002F000000}"/>
    <cellStyle name="Warning Text 2" xfId="46" xr:uid="{00000000-0005-0000-0000-000030000000}"/>
  </cellStyles>
  <dxfs count="0"/>
  <tableStyles count="0" defaultTableStyle="TableStyleMedium2" defaultPivotStyle="PivotStyleLight16"/>
  <colors>
    <mruColors>
      <color rgb="FF008000"/>
      <color rgb="FF0000FF"/>
      <color rgb="FF006600"/>
      <color rgb="FF33CC33"/>
      <color rgb="FF00CC00"/>
      <color rgb="FFA50021"/>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7144</xdr:colOff>
      <xdr:row>0</xdr:row>
      <xdr:rowOff>7143</xdr:rowOff>
    </xdr:from>
    <xdr:to>
      <xdr:col>1</xdr:col>
      <xdr:colOff>2019355</xdr:colOff>
      <xdr:row>4</xdr:row>
      <xdr:rowOff>11906</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 y="7143"/>
          <a:ext cx="2869461" cy="12072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49"/>
  <sheetViews>
    <sheetView tabSelected="1" view="pageLayout" zoomScale="80" zoomScaleNormal="100" zoomScalePageLayoutView="80" workbookViewId="0">
      <selection activeCell="B3" sqref="B3"/>
    </sheetView>
  </sheetViews>
  <sheetFormatPr defaultRowHeight="22.5" customHeight="1" x14ac:dyDescent="0.25"/>
  <cols>
    <col min="1" max="1" width="12" customWidth="1"/>
    <col min="2" max="2" width="36.7109375" customWidth="1"/>
    <col min="3" max="3" width="12.85546875" customWidth="1"/>
    <col min="4" max="4" width="17.140625" customWidth="1"/>
    <col min="5" max="5" width="5.140625" customWidth="1"/>
    <col min="6" max="6" width="30" customWidth="1"/>
    <col min="7" max="7" width="18.28515625" customWidth="1"/>
    <col min="8" max="8" width="10.5703125" customWidth="1"/>
    <col min="9" max="9" width="14" customWidth="1"/>
    <col min="10" max="10" width="14.42578125" customWidth="1"/>
  </cols>
  <sheetData>
    <row r="1" spans="1:10" ht="18.75" customHeight="1" x14ac:dyDescent="0.25">
      <c r="E1" s="31"/>
    </row>
    <row r="2" spans="1:10" ht="27" x14ac:dyDescent="0.35">
      <c r="C2" s="596" t="s">
        <v>169</v>
      </c>
      <c r="D2" s="596"/>
      <c r="E2" s="596"/>
      <c r="F2" s="596"/>
      <c r="G2" s="596"/>
    </row>
    <row r="3" spans="1:10" ht="18.75" customHeight="1" x14ac:dyDescent="0.25"/>
    <row r="4" spans="1:10" ht="30" x14ac:dyDescent="0.4">
      <c r="C4" s="597" t="s">
        <v>168</v>
      </c>
      <c r="D4" s="597"/>
      <c r="E4" s="597"/>
      <c r="F4" s="597"/>
      <c r="G4" s="597"/>
    </row>
    <row r="5" spans="1:10" ht="14.25" customHeight="1" x14ac:dyDescent="0.25"/>
    <row r="6" spans="1:10" ht="14.25" customHeight="1" x14ac:dyDescent="0.25"/>
    <row r="7" spans="1:10" ht="22.5" customHeight="1" x14ac:dyDescent="0.25">
      <c r="A7" s="358" t="s">
        <v>0</v>
      </c>
      <c r="B7" s="598"/>
      <c r="C7" s="599"/>
      <c r="D7" s="599"/>
      <c r="E7" s="66"/>
      <c r="F7" s="357" t="s">
        <v>1</v>
      </c>
      <c r="G7" s="564" t="s">
        <v>279</v>
      </c>
      <c r="I7" s="394"/>
      <c r="J7" s="394"/>
    </row>
    <row r="8" spans="1:10" ht="12.75" customHeight="1" x14ac:dyDescent="0.25">
      <c r="A8" s="1"/>
      <c r="B8" s="3"/>
      <c r="C8" s="45"/>
      <c r="D8" s="45"/>
      <c r="E8" s="45"/>
      <c r="F8" s="4"/>
      <c r="G8" s="2"/>
      <c r="H8" s="395"/>
      <c r="I8" s="395"/>
      <c r="J8" s="395"/>
    </row>
    <row r="9" spans="1:10" ht="22.5" customHeight="1" x14ac:dyDescent="0.25">
      <c r="A9" s="604" t="s">
        <v>2</v>
      </c>
      <c r="B9" s="604"/>
      <c r="C9" s="604"/>
      <c r="D9" s="67" t="s">
        <v>3</v>
      </c>
      <c r="E9" s="396"/>
      <c r="F9" s="605" t="s">
        <v>4</v>
      </c>
      <c r="G9" s="604"/>
      <c r="H9" s="604"/>
      <c r="I9" s="367" t="s">
        <v>179</v>
      </c>
      <c r="J9" s="367" t="s">
        <v>252</v>
      </c>
    </row>
    <row r="10" spans="1:10" ht="22.5" customHeight="1" x14ac:dyDescent="0.25">
      <c r="A10" s="606" t="s">
        <v>170</v>
      </c>
      <c r="B10" s="606"/>
      <c r="C10" s="606"/>
      <c r="D10" s="554">
        <v>0</v>
      </c>
      <c r="E10" s="44"/>
      <c r="F10" s="607" t="s">
        <v>180</v>
      </c>
      <c r="G10" s="608"/>
      <c r="H10" s="22" t="s">
        <v>178</v>
      </c>
      <c r="I10" s="29"/>
      <c r="J10" s="30"/>
    </row>
    <row r="11" spans="1:10" ht="22.5" customHeight="1" x14ac:dyDescent="0.25">
      <c r="A11" s="606" t="s">
        <v>5</v>
      </c>
      <c r="B11" s="606"/>
      <c r="C11" s="606"/>
      <c r="D11" s="609"/>
      <c r="E11" s="45"/>
      <c r="F11" s="611"/>
      <c r="G11" s="612"/>
      <c r="H11" s="373"/>
      <c r="I11" s="374"/>
      <c r="J11" s="375"/>
    </row>
    <row r="12" spans="1:10" ht="22.5" customHeight="1" x14ac:dyDescent="0.25">
      <c r="A12" s="613"/>
      <c r="B12" s="613"/>
      <c r="C12" s="613"/>
      <c r="D12" s="337"/>
      <c r="E12" s="44"/>
      <c r="F12" s="614"/>
      <c r="G12" s="615"/>
      <c r="H12" s="376"/>
      <c r="I12" s="377"/>
      <c r="J12" s="378"/>
    </row>
    <row r="13" spans="1:10" ht="22.5" customHeight="1" x14ac:dyDescent="0.25">
      <c r="A13" s="633"/>
      <c r="B13" s="633"/>
      <c r="C13" s="633"/>
      <c r="D13" s="337"/>
      <c r="E13" s="44"/>
      <c r="F13" s="600"/>
      <c r="G13" s="601"/>
      <c r="H13" s="397"/>
      <c r="I13" s="398"/>
      <c r="J13" s="336"/>
    </row>
    <row r="14" spans="1:10" ht="22.5" customHeight="1" x14ac:dyDescent="0.25">
      <c r="A14" s="568" t="s">
        <v>6</v>
      </c>
      <c r="B14" s="568"/>
      <c r="C14" s="568"/>
      <c r="D14" s="441"/>
      <c r="E14" s="43"/>
      <c r="F14" s="634"/>
      <c r="G14" s="635"/>
      <c r="H14" s="379"/>
      <c r="I14" s="380"/>
      <c r="J14" s="381"/>
    </row>
    <row r="15" spans="1:10" ht="22.5" customHeight="1" x14ac:dyDescent="0.25">
      <c r="A15" s="628" t="s">
        <v>171</v>
      </c>
      <c r="B15" s="628"/>
      <c r="C15" s="628"/>
      <c r="D15" s="443"/>
      <c r="E15" s="44"/>
      <c r="F15" s="393" t="s">
        <v>181</v>
      </c>
      <c r="G15" s="399"/>
      <c r="H15" s="399"/>
      <c r="I15" s="40"/>
      <c r="J15" s="400"/>
    </row>
    <row r="16" spans="1:10" ht="22.5" customHeight="1" x14ac:dyDescent="0.25">
      <c r="A16" s="654" t="s">
        <v>172</v>
      </c>
      <c r="B16" s="655"/>
      <c r="C16" s="655"/>
      <c r="D16" s="58"/>
      <c r="E16" s="45"/>
      <c r="F16" s="600"/>
      <c r="G16" s="601"/>
      <c r="H16" s="382"/>
      <c r="I16" s="336"/>
      <c r="J16" s="336"/>
    </row>
    <row r="17" spans="1:10" ht="22.5" customHeight="1" x14ac:dyDescent="0.25">
      <c r="A17" s="68" t="s">
        <v>7</v>
      </c>
      <c r="B17" s="69" t="s">
        <v>195</v>
      </c>
      <c r="C17" s="69" t="s">
        <v>9</v>
      </c>
      <c r="D17" s="442"/>
      <c r="E17" s="46"/>
      <c r="F17" s="600"/>
      <c r="G17" s="601"/>
      <c r="H17" s="382"/>
      <c r="I17" s="336"/>
      <c r="J17" s="336"/>
    </row>
    <row r="18" spans="1:10" ht="22.5" customHeight="1" x14ac:dyDescent="0.25">
      <c r="A18" s="429"/>
      <c r="B18" s="430" t="s">
        <v>10</v>
      </c>
      <c r="C18" s="431"/>
      <c r="D18" s="338">
        <f>A18*C18</f>
        <v>0</v>
      </c>
      <c r="E18" s="50"/>
      <c r="F18" s="600"/>
      <c r="G18" s="601"/>
      <c r="H18" s="382"/>
      <c r="I18" s="336"/>
      <c r="J18" s="336"/>
    </row>
    <row r="19" spans="1:10" ht="22.5" customHeight="1" x14ac:dyDescent="0.25">
      <c r="A19" s="429"/>
      <c r="B19" s="430" t="s">
        <v>10</v>
      </c>
      <c r="C19" s="431"/>
      <c r="D19" s="338">
        <f t="shared" ref="D19:D22" si="0">A19*C19</f>
        <v>0</v>
      </c>
      <c r="E19" s="50"/>
      <c r="F19" s="600"/>
      <c r="G19" s="601"/>
      <c r="H19" s="382"/>
      <c r="I19" s="336"/>
      <c r="J19" s="336"/>
    </row>
    <row r="20" spans="1:10" ht="22.5" customHeight="1" x14ac:dyDescent="0.25">
      <c r="A20" s="429"/>
      <c r="B20" s="430"/>
      <c r="C20" s="431"/>
      <c r="D20" s="338">
        <f t="shared" si="0"/>
        <v>0</v>
      </c>
      <c r="E20" s="50"/>
      <c r="F20" s="359" t="s">
        <v>185</v>
      </c>
      <c r="G20" s="360"/>
      <c r="H20" s="360"/>
      <c r="I20" s="420" t="s">
        <v>254</v>
      </c>
      <c r="J20" s="59"/>
    </row>
    <row r="21" spans="1:10" ht="22.5" customHeight="1" x14ac:dyDescent="0.25">
      <c r="A21" s="429"/>
      <c r="B21" s="430" t="s">
        <v>10</v>
      </c>
      <c r="C21" s="431"/>
      <c r="D21" s="338">
        <f t="shared" si="0"/>
        <v>0</v>
      </c>
      <c r="E21" s="50"/>
      <c r="F21" s="361" t="s">
        <v>250</v>
      </c>
      <c r="G21" s="362" t="s">
        <v>251</v>
      </c>
      <c r="H21" s="363" t="s">
        <v>178</v>
      </c>
      <c r="I21" s="41" t="s">
        <v>179</v>
      </c>
      <c r="J21" s="71" t="s">
        <v>187</v>
      </c>
    </row>
    <row r="22" spans="1:10" ht="22.5" customHeight="1" x14ac:dyDescent="0.25">
      <c r="A22" s="429"/>
      <c r="B22" s="430" t="s">
        <v>10</v>
      </c>
      <c r="C22" s="431"/>
      <c r="D22" s="338">
        <f t="shared" si="0"/>
        <v>0</v>
      </c>
      <c r="E22" s="50"/>
      <c r="F22" s="555"/>
      <c r="G22" s="556"/>
      <c r="H22" s="556"/>
      <c r="I22" s="557"/>
      <c r="J22" s="557"/>
    </row>
    <row r="23" spans="1:10" ht="22.5" customHeight="1" x14ac:dyDescent="0.25">
      <c r="A23" s="34" t="s">
        <v>11</v>
      </c>
      <c r="B23" s="32"/>
      <c r="C23" s="33"/>
      <c r="D23" s="339"/>
      <c r="E23" s="45"/>
      <c r="F23" s="383"/>
      <c r="G23" s="384"/>
      <c r="H23" s="384"/>
      <c r="I23" s="381"/>
      <c r="J23" s="381"/>
    </row>
    <row r="24" spans="1:10" ht="22.5" customHeight="1" x14ac:dyDescent="0.25">
      <c r="A24" s="68" t="s">
        <v>12</v>
      </c>
      <c r="B24" s="69" t="s">
        <v>13</v>
      </c>
      <c r="C24" s="69" t="s">
        <v>9</v>
      </c>
      <c r="D24" s="70"/>
      <c r="E24" s="46"/>
      <c r="F24" s="383"/>
      <c r="G24" s="385"/>
      <c r="H24" s="385"/>
      <c r="I24" s="375"/>
      <c r="J24" s="375"/>
    </row>
    <row r="25" spans="1:10" ht="22.5" customHeight="1" x14ac:dyDescent="0.25">
      <c r="A25" s="432"/>
      <c r="B25" s="433" t="s">
        <v>10</v>
      </c>
      <c r="C25" s="434"/>
      <c r="D25" s="340">
        <f>A25*C25</f>
        <v>0</v>
      </c>
      <c r="E25" s="47"/>
      <c r="F25" s="383"/>
      <c r="G25" s="385"/>
      <c r="H25" s="385"/>
      <c r="I25" s="375"/>
      <c r="J25" s="375"/>
    </row>
    <row r="26" spans="1:10" ht="22.5" customHeight="1" x14ac:dyDescent="0.25">
      <c r="A26" s="432"/>
      <c r="B26" s="433" t="s">
        <v>10</v>
      </c>
      <c r="C26" s="434"/>
      <c r="D26" s="340">
        <f t="shared" ref="D26:D30" si="1">A26*C26</f>
        <v>0</v>
      </c>
      <c r="E26" s="47"/>
      <c r="F26" s="383"/>
      <c r="G26" s="385"/>
      <c r="H26" s="385"/>
      <c r="I26" s="375"/>
      <c r="J26" s="375"/>
    </row>
    <row r="27" spans="1:10" ht="22.5" customHeight="1" x14ac:dyDescent="0.25">
      <c r="A27" s="432"/>
      <c r="B27" s="433" t="s">
        <v>10</v>
      </c>
      <c r="C27" s="434"/>
      <c r="D27" s="340">
        <f>A27*C27</f>
        <v>0</v>
      </c>
      <c r="E27" s="47"/>
      <c r="F27" s="383"/>
      <c r="G27" s="385"/>
      <c r="H27" s="385"/>
      <c r="I27" s="375"/>
      <c r="J27" s="375"/>
    </row>
    <row r="28" spans="1:10" ht="22.5" customHeight="1" x14ac:dyDescent="0.25">
      <c r="A28" s="432"/>
      <c r="B28" s="433"/>
      <c r="C28" s="434"/>
      <c r="D28" s="340">
        <f t="shared" si="1"/>
        <v>0</v>
      </c>
      <c r="E28" s="47"/>
      <c r="F28" s="383"/>
      <c r="G28" s="385"/>
      <c r="H28" s="385"/>
      <c r="I28" s="375"/>
      <c r="J28" s="375"/>
    </row>
    <row r="29" spans="1:10" ht="22.5" customHeight="1" x14ac:dyDescent="0.25">
      <c r="A29" s="432"/>
      <c r="B29" s="433" t="s">
        <v>10</v>
      </c>
      <c r="C29" s="434"/>
      <c r="D29" s="340">
        <f t="shared" si="1"/>
        <v>0</v>
      </c>
      <c r="E29" s="47"/>
      <c r="F29" s="386"/>
      <c r="G29" s="387"/>
      <c r="H29" s="385"/>
      <c r="I29" s="375"/>
      <c r="J29" s="375"/>
    </row>
    <row r="30" spans="1:10" ht="22.5" customHeight="1" x14ac:dyDescent="0.25">
      <c r="A30" s="435"/>
      <c r="B30" s="436" t="s">
        <v>10</v>
      </c>
      <c r="C30" s="437"/>
      <c r="D30" s="341">
        <f t="shared" si="1"/>
        <v>0</v>
      </c>
      <c r="E30" s="47"/>
      <c r="F30" s="388"/>
      <c r="G30" s="101"/>
      <c r="H30" s="389"/>
      <c r="I30" s="375"/>
      <c r="J30" s="375"/>
    </row>
    <row r="31" spans="1:10" ht="22.5" customHeight="1" x14ac:dyDescent="0.25">
      <c r="A31" s="35" t="s">
        <v>249</v>
      </c>
      <c r="B31" s="35"/>
      <c r="C31" s="320"/>
      <c r="D31" s="342"/>
      <c r="E31" s="51"/>
      <c r="F31" s="390"/>
      <c r="G31" s="391"/>
      <c r="H31" s="389"/>
      <c r="I31" s="375"/>
      <c r="J31" s="375"/>
    </row>
    <row r="32" spans="1:10" ht="22.5" customHeight="1" x14ac:dyDescent="0.25">
      <c r="A32" s="72" t="s">
        <v>15</v>
      </c>
      <c r="B32" s="33"/>
      <c r="C32" s="33"/>
      <c r="D32" s="343"/>
      <c r="E32" s="45"/>
      <c r="F32" s="390"/>
      <c r="G32" s="391"/>
      <c r="H32" s="389"/>
      <c r="I32" s="375"/>
      <c r="J32" s="375"/>
    </row>
    <row r="33" spans="1:10" ht="22.5" customHeight="1" x14ac:dyDescent="0.25">
      <c r="A33" s="323"/>
      <c r="B33" s="324"/>
      <c r="C33" s="321"/>
      <c r="D33" s="344">
        <v>0</v>
      </c>
      <c r="E33" s="42"/>
      <c r="F33" s="390"/>
      <c r="G33" s="391"/>
      <c r="H33" s="392"/>
      <c r="I33" s="378"/>
      <c r="J33" s="378"/>
    </row>
    <row r="34" spans="1:10" ht="22.5" customHeight="1" x14ac:dyDescent="0.25">
      <c r="A34" s="325"/>
      <c r="B34" s="326"/>
      <c r="C34" s="322"/>
      <c r="D34" s="345">
        <f>C34*A34</f>
        <v>0</v>
      </c>
      <c r="E34" s="42"/>
      <c r="F34" s="401"/>
      <c r="G34" s="382"/>
      <c r="H34" s="382"/>
      <c r="I34" s="336"/>
      <c r="J34" s="336"/>
    </row>
    <row r="35" spans="1:10" ht="22.5" customHeight="1" x14ac:dyDescent="0.25">
      <c r="A35" s="327" t="s">
        <v>16</v>
      </c>
      <c r="B35" s="328"/>
      <c r="C35" s="26"/>
      <c r="D35" s="346"/>
      <c r="E35" s="45"/>
      <c r="F35" s="359" t="s">
        <v>182</v>
      </c>
      <c r="G35" s="360"/>
      <c r="H35" s="360"/>
      <c r="I35" s="33"/>
      <c r="J35" s="420" t="s">
        <v>254</v>
      </c>
    </row>
    <row r="36" spans="1:10" ht="22.5" customHeight="1" x14ac:dyDescent="0.25">
      <c r="A36" s="329"/>
      <c r="B36" s="329"/>
      <c r="C36" s="25"/>
      <c r="D36" s="347"/>
      <c r="E36" s="42"/>
      <c r="F36" s="368" t="s">
        <v>183</v>
      </c>
      <c r="G36" s="362"/>
      <c r="H36" s="362"/>
      <c r="I36" s="369"/>
      <c r="J36" s="74" t="s">
        <v>184</v>
      </c>
    </row>
    <row r="37" spans="1:10" ht="22.5" customHeight="1" x14ac:dyDescent="0.25">
      <c r="A37" s="329"/>
      <c r="B37" s="329"/>
      <c r="C37" s="25"/>
      <c r="D37" s="348"/>
      <c r="E37" s="42"/>
      <c r="F37" s="618"/>
      <c r="G37" s="618"/>
      <c r="H37" s="618"/>
      <c r="I37" s="618"/>
      <c r="J37" s="417"/>
    </row>
    <row r="38" spans="1:10" ht="22.5" customHeight="1" x14ac:dyDescent="0.25">
      <c r="A38" s="329"/>
      <c r="B38" s="329"/>
      <c r="C38" s="25"/>
      <c r="D38" s="348"/>
      <c r="E38" s="42"/>
      <c r="F38" s="618"/>
      <c r="G38" s="618"/>
      <c r="H38" s="618"/>
      <c r="I38" s="618"/>
      <c r="J38" s="418"/>
    </row>
    <row r="39" spans="1:10" ht="22.5" customHeight="1" x14ac:dyDescent="0.25">
      <c r="A39" s="330" t="s">
        <v>173</v>
      </c>
      <c r="B39" s="331"/>
      <c r="C39" s="21"/>
      <c r="D39" s="349">
        <f>D10+D12+D13+D14+D15+D18+D19+D20+D21+D22+D25+D26+D27+D28+D29+D30+D31+D33+D34+D36+D37+D38</f>
        <v>0</v>
      </c>
      <c r="E39" s="48"/>
      <c r="F39" s="618"/>
      <c r="G39" s="618"/>
      <c r="H39" s="618"/>
      <c r="I39" s="618"/>
      <c r="J39" s="418"/>
    </row>
    <row r="40" spans="1:10" ht="22.5" customHeight="1" x14ac:dyDescent="0.25">
      <c r="A40" s="402"/>
      <c r="B40" s="403"/>
      <c r="C40" s="404"/>
      <c r="D40" s="405"/>
      <c r="E40" s="49"/>
      <c r="F40" s="618"/>
      <c r="G40" s="618"/>
      <c r="H40" s="618"/>
      <c r="I40" s="618"/>
      <c r="J40" s="418"/>
    </row>
    <row r="41" spans="1:10" ht="22.5" customHeight="1" x14ac:dyDescent="0.25">
      <c r="A41" s="648" t="s">
        <v>177</v>
      </c>
      <c r="B41" s="649"/>
      <c r="C41" s="649"/>
      <c r="D41" s="650"/>
      <c r="E41" s="49"/>
      <c r="F41" s="595" t="s">
        <v>188</v>
      </c>
      <c r="G41" s="595"/>
      <c r="H41" s="595"/>
      <c r="I41" s="595"/>
      <c r="J41" s="371"/>
    </row>
    <row r="42" spans="1:10" ht="22.5" customHeight="1" x14ac:dyDescent="0.25">
      <c r="A42" s="38" t="s">
        <v>174</v>
      </c>
      <c r="B42" s="40"/>
      <c r="C42" s="40"/>
      <c r="D42" s="55"/>
      <c r="E42" s="49"/>
      <c r="F42" s="595" t="s">
        <v>189</v>
      </c>
      <c r="G42" s="595"/>
      <c r="H42" s="595"/>
      <c r="I42" s="595"/>
      <c r="J42" s="365"/>
    </row>
    <row r="43" spans="1:10" ht="22.5" customHeight="1" x14ac:dyDescent="0.25">
      <c r="A43" s="39" t="s">
        <v>7</v>
      </c>
      <c r="B43" s="56" t="s">
        <v>13</v>
      </c>
      <c r="C43" s="56" t="s">
        <v>9</v>
      </c>
      <c r="D43" s="350"/>
      <c r="E43" s="52"/>
      <c r="F43" s="619"/>
      <c r="G43" s="620"/>
      <c r="H43" s="620"/>
      <c r="I43" s="621"/>
      <c r="J43" s="375"/>
    </row>
    <row r="44" spans="1:10" ht="22.5" customHeight="1" x14ac:dyDescent="0.25">
      <c r="A44" s="334"/>
      <c r="B44" s="333"/>
      <c r="C44" s="332"/>
      <c r="D44" s="335">
        <f>A44*C44</f>
        <v>0</v>
      </c>
      <c r="E44" s="49"/>
      <c r="F44" s="622"/>
      <c r="G44" s="623"/>
      <c r="H44" s="623"/>
      <c r="I44" s="624"/>
      <c r="J44" s="375"/>
    </row>
    <row r="45" spans="1:10" ht="22.5" customHeight="1" x14ac:dyDescent="0.25">
      <c r="A45" s="334"/>
      <c r="B45" s="333"/>
      <c r="C45" s="332"/>
      <c r="D45" s="335">
        <f t="shared" ref="D45:D51" si="2">A45*C45</f>
        <v>0</v>
      </c>
      <c r="E45" s="49"/>
      <c r="F45" s="625" t="s">
        <v>190</v>
      </c>
      <c r="G45" s="626"/>
      <c r="H45" s="626"/>
      <c r="I45" s="627"/>
      <c r="J45" s="424">
        <f>SUM(J11:J14)+SUM(J16:J19)+SUM(I22:I34)+SUM(J37:J41)+SUM(J43:J44)</f>
        <v>0</v>
      </c>
    </row>
    <row r="46" spans="1:10" ht="22.5" customHeight="1" x14ac:dyDescent="0.25">
      <c r="A46" s="334"/>
      <c r="B46" s="333"/>
      <c r="C46" s="332"/>
      <c r="D46" s="335">
        <f t="shared" si="2"/>
        <v>0</v>
      </c>
      <c r="E46" s="49"/>
      <c r="F46" s="591" t="s">
        <v>253</v>
      </c>
      <c r="G46" s="592"/>
      <c r="H46" s="592"/>
      <c r="I46" s="593"/>
      <c r="J46" s="419">
        <f>SUM(J11:J14)+SUM(J16:J19)+SUM(J22:J34)+(J41)+SUM(J43:J44)+J37+J38+J39+J40</f>
        <v>0</v>
      </c>
    </row>
    <row r="47" spans="1:10" ht="22.5" customHeight="1" x14ac:dyDescent="0.25">
      <c r="A47" s="334"/>
      <c r="B47" s="333"/>
      <c r="C47" s="332"/>
      <c r="D47" s="335">
        <f t="shared" si="2"/>
        <v>0</v>
      </c>
      <c r="E47" s="49"/>
      <c r="F47" s="406"/>
      <c r="G47" s="406"/>
      <c r="H47" s="406"/>
      <c r="I47" s="144"/>
      <c r="J47" s="407"/>
    </row>
    <row r="48" spans="1:10" ht="22.5" customHeight="1" x14ac:dyDescent="0.25">
      <c r="A48" s="334"/>
      <c r="B48" s="333"/>
      <c r="C48" s="332"/>
      <c r="D48" s="335">
        <f t="shared" si="2"/>
        <v>0</v>
      </c>
      <c r="E48" s="49"/>
      <c r="F48" s="594" t="s">
        <v>18</v>
      </c>
      <c r="G48" s="594"/>
      <c r="H48" s="594"/>
      <c r="I48" s="594"/>
      <c r="J48" s="594"/>
    </row>
    <row r="49" spans="1:10" ht="22.5" customHeight="1" x14ac:dyDescent="0.25">
      <c r="A49" s="334"/>
      <c r="B49" s="333"/>
      <c r="C49" s="332"/>
      <c r="D49" s="335">
        <f t="shared" si="2"/>
        <v>0</v>
      </c>
      <c r="E49" s="49"/>
      <c r="F49" s="364" t="s">
        <v>19</v>
      </c>
      <c r="G49" s="585" t="s">
        <v>20</v>
      </c>
      <c r="H49" s="585"/>
      <c r="I49" s="610" t="s">
        <v>186</v>
      </c>
      <c r="J49" s="610"/>
    </row>
    <row r="50" spans="1:10" ht="22.5" customHeight="1" x14ac:dyDescent="0.25">
      <c r="A50" s="334"/>
      <c r="B50" s="333"/>
      <c r="C50" s="332"/>
      <c r="D50" s="335">
        <f t="shared" si="2"/>
        <v>0</v>
      </c>
      <c r="E50" s="45"/>
      <c r="F50" s="421" t="s">
        <v>10</v>
      </c>
      <c r="G50" s="589" t="s">
        <v>10</v>
      </c>
      <c r="H50" s="589"/>
      <c r="I50" s="616"/>
      <c r="J50" s="617"/>
    </row>
    <row r="51" spans="1:10" ht="22.5" customHeight="1" x14ac:dyDescent="0.25">
      <c r="A51" s="334"/>
      <c r="B51" s="333"/>
      <c r="C51" s="332"/>
      <c r="D51" s="335">
        <f t="shared" si="2"/>
        <v>0</v>
      </c>
      <c r="E51" s="45"/>
      <c r="F51" s="422" t="s">
        <v>10</v>
      </c>
      <c r="G51" s="590" t="s">
        <v>10</v>
      </c>
      <c r="H51" s="590"/>
      <c r="I51" s="616"/>
      <c r="J51" s="617"/>
    </row>
    <row r="52" spans="1:10" ht="22.5" customHeight="1" x14ac:dyDescent="0.25">
      <c r="A52" s="58" t="s">
        <v>17</v>
      </c>
      <c r="B52" s="37"/>
      <c r="C52" s="28"/>
      <c r="D52" s="351"/>
      <c r="E52" s="53"/>
      <c r="F52" s="422" t="s">
        <v>10</v>
      </c>
      <c r="G52" s="590" t="s">
        <v>10</v>
      </c>
      <c r="H52" s="590"/>
      <c r="I52" s="616" t="s">
        <v>10</v>
      </c>
      <c r="J52" s="617"/>
    </row>
    <row r="53" spans="1:10" ht="22.5" customHeight="1" x14ac:dyDescent="0.25">
      <c r="A53" s="36" t="s">
        <v>54</v>
      </c>
      <c r="B53" s="27" t="s">
        <v>135</v>
      </c>
      <c r="C53" s="27"/>
      <c r="D53" s="352"/>
      <c r="E53" s="53"/>
      <c r="F53" s="422" t="s">
        <v>10</v>
      </c>
      <c r="G53" s="590" t="s">
        <v>10</v>
      </c>
      <c r="H53" s="590"/>
      <c r="I53" s="616" t="s">
        <v>10</v>
      </c>
      <c r="J53" s="617"/>
    </row>
    <row r="54" spans="1:10" ht="22.5" customHeight="1" x14ac:dyDescent="0.25">
      <c r="A54" s="438"/>
      <c r="B54" s="439"/>
      <c r="C54" s="440"/>
      <c r="D54" s="353">
        <f>A54*C54</f>
        <v>0</v>
      </c>
      <c r="E54" s="53"/>
      <c r="F54" s="422" t="s">
        <v>10</v>
      </c>
      <c r="G54" s="590" t="s">
        <v>10</v>
      </c>
      <c r="H54" s="590"/>
      <c r="I54" s="616" t="s">
        <v>10</v>
      </c>
      <c r="J54" s="617"/>
    </row>
    <row r="55" spans="1:10" ht="22.5" customHeight="1" x14ac:dyDescent="0.25">
      <c r="A55" s="438"/>
      <c r="B55" s="439" t="s">
        <v>10</v>
      </c>
      <c r="C55" s="440"/>
      <c r="D55" s="353">
        <f t="shared" ref="D55:D58" si="3">A55*C55</f>
        <v>0</v>
      </c>
      <c r="E55" s="53"/>
      <c r="F55" s="576" t="s">
        <v>22</v>
      </c>
      <c r="G55" s="577"/>
      <c r="H55" s="577"/>
      <c r="I55" s="578"/>
      <c r="J55" s="366" t="s">
        <v>252</v>
      </c>
    </row>
    <row r="56" spans="1:10" ht="22.5" customHeight="1" x14ac:dyDescent="0.25">
      <c r="A56" s="438"/>
      <c r="B56" s="439" t="s">
        <v>10</v>
      </c>
      <c r="C56" s="440"/>
      <c r="D56" s="353">
        <f t="shared" si="3"/>
        <v>0</v>
      </c>
      <c r="E56" s="53"/>
      <c r="F56" s="586"/>
      <c r="G56" s="587"/>
      <c r="H56" s="587"/>
      <c r="I56" s="588"/>
      <c r="J56" s="425"/>
    </row>
    <row r="57" spans="1:10" ht="22.5" customHeight="1" x14ac:dyDescent="0.25">
      <c r="A57" s="438"/>
      <c r="B57" s="439" t="s">
        <v>10</v>
      </c>
      <c r="C57" s="440"/>
      <c r="D57" s="353">
        <f t="shared" si="3"/>
        <v>0</v>
      </c>
      <c r="E57" s="45"/>
      <c r="F57" s="586"/>
      <c r="G57" s="587"/>
      <c r="H57" s="587"/>
      <c r="I57" s="588"/>
      <c r="J57" s="425"/>
    </row>
    <row r="58" spans="1:10" ht="22.5" customHeight="1" x14ac:dyDescent="0.25">
      <c r="A58" s="438"/>
      <c r="B58" s="439"/>
      <c r="C58" s="440"/>
      <c r="D58" s="353">
        <f t="shared" si="3"/>
        <v>0</v>
      </c>
      <c r="E58" s="42"/>
      <c r="F58" s="586"/>
      <c r="G58" s="587"/>
      <c r="H58" s="587"/>
      <c r="I58" s="588"/>
      <c r="J58" s="425"/>
    </row>
    <row r="59" spans="1:10" ht="22.5" customHeight="1" x14ac:dyDescent="0.25">
      <c r="A59" s="73" t="s">
        <v>21</v>
      </c>
      <c r="B59" s="73"/>
      <c r="C59" s="26"/>
      <c r="D59" s="339"/>
      <c r="E59" s="42"/>
      <c r="F59" s="586"/>
      <c r="G59" s="587"/>
      <c r="H59" s="587"/>
      <c r="I59" s="588"/>
      <c r="J59" s="425"/>
    </row>
    <row r="60" spans="1:10" ht="22.5" customHeight="1" x14ac:dyDescent="0.25">
      <c r="A60" s="642"/>
      <c r="B60" s="643"/>
      <c r="C60" s="644"/>
      <c r="D60" s="337">
        <v>0</v>
      </c>
      <c r="E60" s="54"/>
      <c r="F60" s="573"/>
      <c r="G60" s="574"/>
      <c r="H60" s="574"/>
      <c r="I60" s="575"/>
      <c r="J60" s="423"/>
    </row>
    <row r="61" spans="1:10" ht="22.5" customHeight="1" x14ac:dyDescent="0.25">
      <c r="A61" s="642"/>
      <c r="B61" s="643"/>
      <c r="C61" s="644"/>
      <c r="D61" s="337"/>
      <c r="E61" s="54"/>
      <c r="F61" s="582" t="s">
        <v>23</v>
      </c>
      <c r="G61" s="583"/>
      <c r="H61" s="584"/>
      <c r="I61" s="602">
        <f>J46+SUM(I50:J54)+SUM(J56:J60)</f>
        <v>0</v>
      </c>
      <c r="J61" s="603"/>
    </row>
    <row r="62" spans="1:10" ht="22.5" customHeight="1" x14ac:dyDescent="0.25">
      <c r="A62" s="638" t="s">
        <v>175</v>
      </c>
      <c r="B62" s="639"/>
      <c r="C62" s="640"/>
      <c r="D62" s="354">
        <f>J119</f>
        <v>0</v>
      </c>
      <c r="E62" s="49"/>
      <c r="F62" s="408"/>
      <c r="G62" s="409"/>
      <c r="H62" s="409"/>
      <c r="I62" s="410"/>
      <c r="J62" s="411"/>
    </row>
    <row r="63" spans="1:10" ht="22.5" customHeight="1" x14ac:dyDescent="0.25">
      <c r="A63" s="638" t="s">
        <v>176</v>
      </c>
      <c r="B63" s="639"/>
      <c r="C63" s="640"/>
      <c r="D63" s="355">
        <f>J138</f>
        <v>0</v>
      </c>
      <c r="E63" s="49"/>
      <c r="F63" s="579" t="s">
        <v>255</v>
      </c>
      <c r="G63" s="580"/>
      <c r="H63" s="581"/>
      <c r="I63" s="636">
        <f>D39-J45</f>
        <v>0</v>
      </c>
      <c r="J63" s="637"/>
    </row>
    <row r="64" spans="1:10" ht="22.5" customHeight="1" x14ac:dyDescent="0.25">
      <c r="A64" s="638" t="s">
        <v>280</v>
      </c>
      <c r="B64" s="639"/>
      <c r="C64" s="641"/>
      <c r="D64" s="336">
        <v>0</v>
      </c>
      <c r="E64" s="49"/>
      <c r="F64" s="651"/>
      <c r="G64" s="652"/>
      <c r="H64" s="652"/>
      <c r="I64" s="652"/>
      <c r="J64" s="653"/>
    </row>
    <row r="65" spans="1:10" ht="22.5" customHeight="1" x14ac:dyDescent="0.25">
      <c r="A65" s="638" t="s">
        <v>272</v>
      </c>
      <c r="B65" s="639"/>
      <c r="C65" s="641"/>
      <c r="D65" s="336">
        <f>J84</f>
        <v>0</v>
      </c>
      <c r="E65" s="42"/>
      <c r="F65" s="427" t="s">
        <v>256</v>
      </c>
      <c r="G65" s="426"/>
      <c r="H65" s="426"/>
      <c r="I65" s="569">
        <f>D68-I61</f>
        <v>0</v>
      </c>
      <c r="J65" s="569"/>
    </row>
    <row r="66" spans="1:10" ht="22.5" customHeight="1" x14ac:dyDescent="0.25">
      <c r="A66" s="638" t="s">
        <v>273</v>
      </c>
      <c r="B66" s="639"/>
      <c r="C66" s="641"/>
      <c r="D66" s="336">
        <f>F105</f>
        <v>0</v>
      </c>
      <c r="E66" s="48"/>
    </row>
    <row r="67" spans="1:10" ht="22.5" customHeight="1" x14ac:dyDescent="0.25">
      <c r="A67" s="645"/>
      <c r="B67" s="646"/>
      <c r="C67" s="647"/>
      <c r="D67" s="356"/>
      <c r="E67" s="412"/>
      <c r="F67" s="144"/>
      <c r="G67" s="144"/>
      <c r="H67" s="144"/>
      <c r="I67" s="144"/>
      <c r="J67" s="144"/>
    </row>
    <row r="68" spans="1:10" ht="22.5" customHeight="1" x14ac:dyDescent="0.25">
      <c r="A68" s="570" t="s">
        <v>24</v>
      </c>
      <c r="B68" s="571"/>
      <c r="C68" s="572"/>
      <c r="D68" s="428">
        <f>D39+SUM(D44:D51)+SUM(D54:D58)+SUM(D60:D67)</f>
        <v>0</v>
      </c>
      <c r="E68" s="412"/>
      <c r="F68" s="144"/>
      <c r="G68" s="144"/>
      <c r="H68" s="144"/>
      <c r="I68" s="144"/>
      <c r="J68" s="144"/>
    </row>
    <row r="69" spans="1:10" ht="8.25" customHeight="1" x14ac:dyDescent="0.25">
      <c r="A69" s="413"/>
      <c r="B69" s="413"/>
      <c r="C69" s="413"/>
      <c r="D69" s="413"/>
      <c r="E69" s="412"/>
      <c r="F69" s="144"/>
      <c r="G69" s="144"/>
      <c r="H69" s="144"/>
      <c r="I69" s="144"/>
      <c r="J69" s="144"/>
    </row>
    <row r="70" spans="1:10" ht="22.5" customHeight="1" x14ac:dyDescent="0.25">
      <c r="A70" s="631" t="s">
        <v>25</v>
      </c>
      <c r="B70" s="632"/>
      <c r="C70" s="632"/>
      <c r="D70" s="632"/>
      <c r="E70" s="632"/>
      <c r="F70" s="632"/>
      <c r="G70" s="632"/>
      <c r="H70" s="632"/>
      <c r="I70" s="632"/>
      <c r="J70" s="632"/>
    </row>
    <row r="71" spans="1:10" ht="22.5" customHeight="1" x14ac:dyDescent="0.25">
      <c r="A71" s="632"/>
      <c r="B71" s="632"/>
      <c r="C71" s="632"/>
      <c r="D71" s="632"/>
      <c r="E71" s="632"/>
      <c r="F71" s="632"/>
      <c r="G71" s="632"/>
      <c r="H71" s="632"/>
      <c r="I71" s="632"/>
      <c r="J71" s="632"/>
    </row>
    <row r="72" spans="1:10" ht="32.25" customHeight="1" x14ac:dyDescent="0.25">
      <c r="A72" s="296"/>
      <c r="B72" s="296"/>
      <c r="C72" s="296"/>
      <c r="D72" s="296"/>
      <c r="E72" s="296"/>
      <c r="F72" s="296"/>
      <c r="G72" s="296"/>
      <c r="H72" s="296"/>
      <c r="I72" s="296"/>
      <c r="J72" s="296"/>
    </row>
    <row r="73" spans="1:10" ht="22.5" customHeight="1" x14ac:dyDescent="0.25">
      <c r="A73" s="62" t="s">
        <v>191</v>
      </c>
      <c r="B73" s="63"/>
      <c r="C73" s="64"/>
      <c r="D73" s="64"/>
      <c r="E73" s="414"/>
      <c r="F73" s="62" t="s">
        <v>193</v>
      </c>
      <c r="G73" s="144"/>
      <c r="H73" s="60"/>
      <c r="I73" s="60"/>
      <c r="J73" s="4"/>
    </row>
    <row r="74" spans="1:10" ht="22.5" customHeight="1" x14ac:dyDescent="0.25">
      <c r="A74" s="65"/>
      <c r="B74" s="63"/>
      <c r="C74" s="64"/>
      <c r="D74" s="64"/>
      <c r="E74" s="64"/>
      <c r="F74" s="64"/>
      <c r="G74" s="57"/>
      <c r="H74" s="60"/>
      <c r="I74" s="60"/>
      <c r="J74" s="4"/>
    </row>
    <row r="75" spans="1:10" ht="22.5" customHeight="1" x14ac:dyDescent="0.25">
      <c r="A75" s="62" t="s">
        <v>192</v>
      </c>
      <c r="B75" s="63"/>
      <c r="C75" s="64"/>
      <c r="D75" s="64"/>
      <c r="E75" s="64"/>
      <c r="F75" s="62" t="s">
        <v>194</v>
      </c>
      <c r="G75" s="144"/>
      <c r="H75" s="629"/>
      <c r="I75" s="630"/>
      <c r="J75" s="61"/>
    </row>
    <row r="76" spans="1:10" ht="22.5" customHeight="1" x14ac:dyDescent="0.25">
      <c r="A76" s="668" t="s">
        <v>27</v>
      </c>
      <c r="B76" s="668"/>
      <c r="C76" s="668"/>
      <c r="D76" s="668"/>
      <c r="E76" s="668"/>
      <c r="F76" s="668"/>
      <c r="G76" s="668"/>
      <c r="H76" s="668"/>
      <c r="I76" s="668"/>
      <c r="J76" s="668"/>
    </row>
    <row r="77" spans="1:10" ht="22.5" customHeight="1" x14ac:dyDescent="0.25">
      <c r="A77" s="669" t="s">
        <v>28</v>
      </c>
      <c r="B77" s="669"/>
      <c r="C77" s="669"/>
      <c r="D77" s="669"/>
      <c r="E77" s="669"/>
      <c r="F77" s="669"/>
      <c r="G77" s="669"/>
      <c r="H77" s="669"/>
      <c r="I77" s="669"/>
      <c r="J77" s="669"/>
    </row>
    <row r="78" spans="1:10" ht="22.5" customHeight="1" x14ac:dyDescent="0.25">
      <c r="A78" s="674" t="s">
        <v>135</v>
      </c>
      <c r="B78" s="675"/>
      <c r="C78" s="75" t="s">
        <v>54</v>
      </c>
      <c r="D78" s="670" t="s">
        <v>196</v>
      </c>
      <c r="E78" s="670"/>
      <c r="F78" s="670"/>
      <c r="G78" s="670"/>
      <c r="H78" s="670"/>
      <c r="I78" s="670"/>
      <c r="J78" s="75" t="s">
        <v>9</v>
      </c>
    </row>
    <row r="79" spans="1:10" ht="22.5" customHeight="1" x14ac:dyDescent="0.25">
      <c r="A79" s="664"/>
      <c r="B79" s="664"/>
      <c r="C79" s="445"/>
      <c r="D79" s="665"/>
      <c r="E79" s="665"/>
      <c r="F79" s="665"/>
      <c r="G79" s="665"/>
      <c r="H79" s="665"/>
      <c r="I79" s="665"/>
      <c r="J79" s="112"/>
    </row>
    <row r="80" spans="1:10" ht="22.5" customHeight="1" x14ac:dyDescent="0.25">
      <c r="A80" s="664"/>
      <c r="B80" s="664"/>
      <c r="C80" s="445"/>
      <c r="D80" s="665"/>
      <c r="E80" s="665"/>
      <c r="F80" s="665"/>
      <c r="G80" s="665"/>
      <c r="H80" s="665"/>
      <c r="I80" s="665"/>
      <c r="J80" s="112"/>
    </row>
    <row r="81" spans="1:10" ht="22.5" customHeight="1" x14ac:dyDescent="0.25">
      <c r="A81" s="664"/>
      <c r="B81" s="664"/>
      <c r="C81" s="445"/>
      <c r="D81" s="665"/>
      <c r="E81" s="665"/>
      <c r="F81" s="665"/>
      <c r="G81" s="665"/>
      <c r="H81" s="665"/>
      <c r="I81" s="665"/>
      <c r="J81" s="112"/>
    </row>
    <row r="82" spans="1:10" ht="22.5" customHeight="1" x14ac:dyDescent="0.25">
      <c r="A82" s="664"/>
      <c r="B82" s="664"/>
      <c r="C82" s="445"/>
      <c r="D82" s="665"/>
      <c r="E82" s="665"/>
      <c r="F82" s="665"/>
      <c r="G82" s="665"/>
      <c r="H82" s="665"/>
      <c r="I82" s="665"/>
      <c r="J82" s="112"/>
    </row>
    <row r="83" spans="1:10" ht="22.5" customHeight="1" x14ac:dyDescent="0.25">
      <c r="A83" s="664"/>
      <c r="B83" s="664"/>
      <c r="C83" s="445"/>
      <c r="D83" s="660"/>
      <c r="E83" s="661"/>
      <c r="F83" s="661"/>
      <c r="G83" s="661"/>
      <c r="H83" s="661"/>
      <c r="I83" s="662"/>
      <c r="J83" s="112"/>
    </row>
    <row r="84" spans="1:10" ht="22.5" customHeight="1" x14ac:dyDescent="0.25">
      <c r="A84" s="369" t="s">
        <v>30</v>
      </c>
      <c r="B84" s="444" t="s">
        <v>10</v>
      </c>
      <c r="C84" s="447">
        <f>SUM(C79:C83)</f>
        <v>0</v>
      </c>
      <c r="D84" s="659"/>
      <c r="E84" s="659"/>
      <c r="F84" s="659"/>
      <c r="G84" s="659"/>
      <c r="H84" s="659"/>
      <c r="I84" s="659"/>
      <c r="J84" s="446">
        <f>SUM(J79:J83)</f>
        <v>0</v>
      </c>
    </row>
    <row r="85" spans="1:10" ht="22.5" customHeight="1" x14ac:dyDescent="0.25">
      <c r="A85" s="413"/>
      <c r="B85" s="413"/>
      <c r="C85" s="413"/>
      <c r="D85" s="413"/>
      <c r="E85" s="413"/>
      <c r="F85" s="413"/>
      <c r="G85" s="413"/>
      <c r="H85" s="413"/>
      <c r="I85" s="413"/>
      <c r="J85" s="413"/>
    </row>
    <row r="86" spans="1:10" ht="22.5" customHeight="1" x14ac:dyDescent="0.25">
      <c r="A86" s="657" t="s">
        <v>31</v>
      </c>
      <c r="B86" s="657"/>
      <c r="C86" s="657"/>
      <c r="D86" s="657"/>
      <c r="E86" s="657"/>
      <c r="F86" s="657"/>
      <c r="G86" s="657"/>
      <c r="H86" s="657"/>
      <c r="I86" s="657"/>
      <c r="J86" s="657"/>
    </row>
    <row r="87" spans="1:10" ht="22.5" customHeight="1" x14ac:dyDescent="0.25">
      <c r="A87" s="293" t="s">
        <v>29</v>
      </c>
      <c r="B87" s="663" t="s">
        <v>19</v>
      </c>
      <c r="C87" s="663"/>
      <c r="D87" s="293" t="s">
        <v>32</v>
      </c>
      <c r="E87" s="24"/>
      <c r="F87" s="293" t="s">
        <v>33</v>
      </c>
      <c r="G87" s="293" t="s">
        <v>34</v>
      </c>
      <c r="H87" s="293" t="s">
        <v>35</v>
      </c>
      <c r="I87" s="293" t="s">
        <v>36</v>
      </c>
      <c r="J87" s="293" t="s">
        <v>37</v>
      </c>
    </row>
    <row r="88" spans="1:10" ht="22.5" customHeight="1" x14ac:dyDescent="0.25">
      <c r="A88" s="450"/>
      <c r="B88" s="612"/>
      <c r="C88" s="612"/>
      <c r="D88" s="451"/>
      <c r="E88" s="373"/>
      <c r="F88" s="375"/>
      <c r="G88" s="370"/>
      <c r="H88" s="453"/>
      <c r="I88" s="453"/>
      <c r="J88" s="112"/>
    </row>
    <row r="89" spans="1:10" ht="22.5" customHeight="1" x14ac:dyDescent="0.25">
      <c r="A89" s="450"/>
      <c r="B89" s="612"/>
      <c r="C89" s="612"/>
      <c r="D89" s="451"/>
      <c r="E89" s="373"/>
      <c r="F89" s="375"/>
      <c r="G89" s="452"/>
      <c r="H89" s="453"/>
      <c r="I89" s="453"/>
      <c r="J89" s="372"/>
    </row>
    <row r="90" spans="1:10" ht="22.5" customHeight="1" x14ac:dyDescent="0.25">
      <c r="A90" s="450"/>
      <c r="B90" s="612"/>
      <c r="C90" s="612"/>
      <c r="D90" s="451"/>
      <c r="E90" s="373"/>
      <c r="F90" s="375"/>
      <c r="G90" s="452"/>
      <c r="H90" s="453"/>
      <c r="I90" s="453"/>
      <c r="J90" s="372"/>
    </row>
    <row r="91" spans="1:10" ht="22.5" customHeight="1" x14ac:dyDescent="0.25">
      <c r="A91" s="450"/>
      <c r="B91" s="658"/>
      <c r="C91" s="624"/>
      <c r="D91" s="451"/>
      <c r="E91" s="373"/>
      <c r="F91" s="375"/>
      <c r="G91" s="452"/>
      <c r="H91" s="453"/>
      <c r="I91" s="453"/>
      <c r="J91" s="372"/>
    </row>
    <row r="92" spans="1:10" ht="22.5" customHeight="1" x14ac:dyDescent="0.25">
      <c r="A92" s="450"/>
      <c r="B92" s="612"/>
      <c r="C92" s="612"/>
      <c r="D92" s="451"/>
      <c r="E92" s="373"/>
      <c r="F92" s="375"/>
      <c r="G92" s="452"/>
      <c r="H92" s="453"/>
      <c r="I92" s="453"/>
      <c r="J92" s="372"/>
    </row>
    <row r="93" spans="1:10" ht="22.5" customHeight="1" x14ac:dyDescent="0.25">
      <c r="A93" s="656" t="s">
        <v>30</v>
      </c>
      <c r="B93" s="656"/>
      <c r="C93" s="656"/>
      <c r="D93" s="656"/>
      <c r="E93" s="294"/>
      <c r="F93" s="448">
        <f>SUM(F88:F92)</f>
        <v>0</v>
      </c>
      <c r="G93" s="30"/>
      <c r="H93" s="449" t="s">
        <v>10</v>
      </c>
      <c r="I93" s="449" t="s">
        <v>10</v>
      </c>
      <c r="J93" s="448">
        <f>SUM(J88:J92)</f>
        <v>0</v>
      </c>
    </row>
    <row r="94" spans="1:10" ht="22.5" customHeight="1" x14ac:dyDescent="0.25">
      <c r="A94" s="413"/>
      <c r="B94" s="413"/>
      <c r="C94" s="413"/>
      <c r="D94" s="413"/>
      <c r="E94" s="413"/>
      <c r="F94" s="413"/>
      <c r="G94" s="413"/>
      <c r="H94" s="413"/>
      <c r="I94" s="413"/>
      <c r="J94" s="413"/>
    </row>
    <row r="95" spans="1:10" ht="22.5" customHeight="1" x14ac:dyDescent="0.25">
      <c r="A95" s="657" t="s">
        <v>38</v>
      </c>
      <c r="B95" s="657"/>
      <c r="C95" s="657"/>
      <c r="D95" s="657"/>
      <c r="E95" s="657"/>
      <c r="F95" s="657"/>
      <c r="G95" s="657"/>
      <c r="H95" s="657"/>
      <c r="I95" s="657"/>
      <c r="J95" s="657"/>
    </row>
    <row r="96" spans="1:10" ht="22.5" customHeight="1" x14ac:dyDescent="0.25">
      <c r="A96" s="672"/>
      <c r="B96" s="672"/>
      <c r="C96" s="672"/>
      <c r="D96" s="672"/>
      <c r="E96" s="672"/>
      <c r="F96" s="672"/>
      <c r="G96" s="672"/>
      <c r="H96" s="672"/>
      <c r="I96" s="672"/>
      <c r="J96" s="672"/>
    </row>
    <row r="97" spans="1:10" ht="22.5" customHeight="1" x14ac:dyDescent="0.25">
      <c r="A97" s="295" t="s">
        <v>7</v>
      </c>
      <c r="B97" s="673" t="s">
        <v>8</v>
      </c>
      <c r="C97" s="673"/>
      <c r="D97" s="295" t="s">
        <v>197</v>
      </c>
      <c r="E97" s="415"/>
      <c r="F97" s="295" t="s">
        <v>39</v>
      </c>
      <c r="G97" s="394"/>
      <c r="H97" s="394"/>
      <c r="I97" s="394"/>
      <c r="J97" s="394"/>
    </row>
    <row r="98" spans="1:10" ht="22.5" customHeight="1" x14ac:dyDescent="0.25">
      <c r="A98" s="455">
        <v>0</v>
      </c>
      <c r="B98" s="612"/>
      <c r="C98" s="612"/>
      <c r="D98" s="456">
        <v>0</v>
      </c>
      <c r="E98" s="457"/>
      <c r="F98" s="448">
        <f>A98*D98</f>
        <v>0</v>
      </c>
      <c r="G98" s="394"/>
      <c r="H98" s="394"/>
      <c r="I98" s="394"/>
      <c r="J98" s="394"/>
    </row>
    <row r="99" spans="1:10" ht="22.5" customHeight="1" x14ac:dyDescent="0.25">
      <c r="A99" s="455"/>
      <c r="B99" s="612"/>
      <c r="C99" s="612"/>
      <c r="D99" s="456"/>
      <c r="E99" s="457"/>
      <c r="F99" s="448">
        <f t="shared" ref="F99:F104" si="4">A99*D99</f>
        <v>0</v>
      </c>
      <c r="G99" s="394"/>
      <c r="H99" s="394"/>
      <c r="I99" s="394"/>
      <c r="J99" s="394"/>
    </row>
    <row r="100" spans="1:10" ht="22.5" customHeight="1" x14ac:dyDescent="0.25">
      <c r="A100" s="455"/>
      <c r="B100" s="612"/>
      <c r="C100" s="612"/>
      <c r="D100" s="456"/>
      <c r="E100" s="457"/>
      <c r="F100" s="448">
        <f t="shared" si="4"/>
        <v>0</v>
      </c>
      <c r="G100" s="394"/>
      <c r="H100" s="394"/>
      <c r="I100" s="394"/>
      <c r="J100" s="394"/>
    </row>
    <row r="101" spans="1:10" ht="22.5" customHeight="1" x14ac:dyDescent="0.25">
      <c r="A101" s="455"/>
      <c r="B101" s="612"/>
      <c r="C101" s="612"/>
      <c r="D101" s="456"/>
      <c r="E101" s="457"/>
      <c r="F101" s="448">
        <f t="shared" si="4"/>
        <v>0</v>
      </c>
      <c r="G101" s="394"/>
      <c r="H101" s="394"/>
      <c r="I101" s="394"/>
      <c r="J101" s="394"/>
    </row>
    <row r="102" spans="1:10" ht="22.5" customHeight="1" x14ac:dyDescent="0.25">
      <c r="A102" s="455"/>
      <c r="B102" s="612"/>
      <c r="C102" s="612"/>
      <c r="D102" s="456"/>
      <c r="E102" s="457"/>
      <c r="F102" s="448">
        <f t="shared" si="4"/>
        <v>0</v>
      </c>
      <c r="G102" s="394"/>
      <c r="H102" s="394"/>
      <c r="I102" s="394"/>
      <c r="J102" s="394"/>
    </row>
    <row r="103" spans="1:10" ht="22.5" customHeight="1" x14ac:dyDescent="0.25">
      <c r="A103" s="455"/>
      <c r="B103" s="612"/>
      <c r="C103" s="612"/>
      <c r="D103" s="456"/>
      <c r="E103" s="457"/>
      <c r="F103" s="448">
        <f t="shared" si="4"/>
        <v>0</v>
      </c>
      <c r="G103" s="394"/>
      <c r="H103" s="394"/>
      <c r="I103" s="394"/>
      <c r="J103" s="394"/>
    </row>
    <row r="104" spans="1:10" ht="22.5" customHeight="1" x14ac:dyDescent="0.25">
      <c r="A104" s="455"/>
      <c r="B104" s="612"/>
      <c r="C104" s="612"/>
      <c r="D104" s="456"/>
      <c r="E104" s="457"/>
      <c r="F104" s="448">
        <f t="shared" si="4"/>
        <v>0</v>
      </c>
      <c r="G104" s="394"/>
      <c r="H104" s="394"/>
      <c r="I104" s="394"/>
      <c r="J104" s="394"/>
    </row>
    <row r="105" spans="1:10" ht="22.5" customHeight="1" x14ac:dyDescent="0.25">
      <c r="A105" s="656" t="s">
        <v>40</v>
      </c>
      <c r="B105" s="656"/>
      <c r="C105" s="656"/>
      <c r="D105" s="656"/>
      <c r="E105" s="294"/>
      <c r="F105" s="458">
        <f>SUM(F98:F104)</f>
        <v>0</v>
      </c>
      <c r="G105" s="394"/>
      <c r="H105" s="394"/>
      <c r="I105" s="394"/>
      <c r="J105" s="394"/>
    </row>
    <row r="106" spans="1:10" ht="22.5" customHeight="1" x14ac:dyDescent="0.25">
      <c r="A106" s="394"/>
      <c r="B106" s="394"/>
      <c r="C106" s="394"/>
      <c r="D106" s="394"/>
      <c r="E106" s="394"/>
      <c r="F106" s="394"/>
      <c r="G106" s="394"/>
      <c r="H106" s="394"/>
      <c r="I106" s="394"/>
      <c r="J106" s="394"/>
    </row>
    <row r="107" spans="1:10" ht="22.5" customHeight="1" x14ac:dyDescent="0.25">
      <c r="A107" s="657" t="s">
        <v>41</v>
      </c>
      <c r="B107" s="657"/>
      <c r="C107" s="657"/>
      <c r="D107" s="657"/>
      <c r="E107" s="657"/>
      <c r="F107" s="657"/>
      <c r="G107" s="657"/>
      <c r="H107" s="657"/>
      <c r="I107" s="657"/>
      <c r="J107" s="657"/>
    </row>
    <row r="108" spans="1:10" ht="22.5" customHeight="1" x14ac:dyDescent="0.25">
      <c r="A108" s="293" t="s">
        <v>14</v>
      </c>
      <c r="B108" s="293" t="s">
        <v>275</v>
      </c>
      <c r="C108" s="293"/>
      <c r="D108" s="293"/>
      <c r="E108" s="293"/>
      <c r="F108" s="293"/>
      <c r="G108" s="293" t="s">
        <v>276</v>
      </c>
      <c r="H108" s="293"/>
      <c r="I108" s="293" t="s">
        <v>45</v>
      </c>
      <c r="J108" s="293" t="s">
        <v>9</v>
      </c>
    </row>
    <row r="109" spans="1:10" ht="22.5" customHeight="1" x14ac:dyDescent="0.25">
      <c r="A109" s="560"/>
      <c r="B109" s="561"/>
      <c r="C109" s="560"/>
      <c r="D109" s="457"/>
      <c r="E109" s="457"/>
      <c r="F109" s="561"/>
      <c r="G109" s="561"/>
      <c r="H109" s="561"/>
      <c r="I109" s="561"/>
      <c r="J109" s="559"/>
    </row>
    <row r="110" spans="1:10" ht="22.5" customHeight="1" x14ac:dyDescent="0.25">
      <c r="A110" s="560"/>
      <c r="B110" s="561"/>
      <c r="C110" s="560"/>
      <c r="D110" s="457"/>
      <c r="E110" s="457"/>
      <c r="F110" s="561"/>
      <c r="G110" s="561"/>
      <c r="H110" s="561"/>
      <c r="I110" s="561"/>
      <c r="J110" s="559"/>
    </row>
    <row r="111" spans="1:10" ht="22.5" customHeight="1" x14ac:dyDescent="0.25">
      <c r="A111" s="560"/>
      <c r="B111" s="561"/>
      <c r="C111" s="560"/>
      <c r="D111" s="457"/>
      <c r="E111" s="457"/>
      <c r="F111" s="561"/>
      <c r="G111" s="561"/>
      <c r="H111" s="561"/>
      <c r="I111" s="561"/>
      <c r="J111" s="559"/>
    </row>
    <row r="112" spans="1:10" ht="22.5" customHeight="1" x14ac:dyDescent="0.25">
      <c r="A112" s="560"/>
      <c r="B112" s="561"/>
      <c r="C112" s="560"/>
      <c r="D112" s="457"/>
      <c r="E112" s="457"/>
      <c r="F112" s="561"/>
      <c r="G112" s="561"/>
      <c r="H112" s="561"/>
      <c r="I112" s="561"/>
      <c r="J112" s="559"/>
    </row>
    <row r="113" spans="1:10" ht="22.5" customHeight="1" x14ac:dyDescent="0.25">
      <c r="A113" s="560"/>
      <c r="B113" s="561"/>
      <c r="C113" s="560"/>
      <c r="D113" s="457"/>
      <c r="E113" s="457"/>
      <c r="F113" s="561"/>
      <c r="G113" s="561"/>
      <c r="H113" s="561"/>
      <c r="I113" s="561"/>
      <c r="J113" s="559"/>
    </row>
    <row r="114" spans="1:10" ht="22.5" customHeight="1" x14ac:dyDescent="0.25">
      <c r="A114" s="560"/>
      <c r="B114" s="561"/>
      <c r="C114" s="560"/>
      <c r="D114" s="457"/>
      <c r="E114" s="457"/>
      <c r="F114" s="561"/>
      <c r="G114" s="561"/>
      <c r="H114" s="561"/>
      <c r="I114" s="561"/>
      <c r="J114" s="559"/>
    </row>
    <row r="115" spans="1:10" ht="22.5" customHeight="1" x14ac:dyDescent="0.25">
      <c r="A115" s="560"/>
      <c r="B115" s="561"/>
      <c r="C115" s="560"/>
      <c r="D115" s="457"/>
      <c r="E115" s="457"/>
      <c r="F115" s="561"/>
      <c r="G115" s="561"/>
      <c r="H115" s="561"/>
      <c r="I115" s="561"/>
      <c r="J115" s="559"/>
    </row>
    <row r="116" spans="1:10" ht="22.5" customHeight="1" x14ac:dyDescent="0.25">
      <c r="A116" s="560"/>
      <c r="B116" s="561"/>
      <c r="C116" s="560"/>
      <c r="D116" s="457"/>
      <c r="E116" s="457"/>
      <c r="F116" s="561"/>
      <c r="G116" s="561"/>
      <c r="H116" s="561"/>
      <c r="I116" s="561"/>
      <c r="J116" s="559"/>
    </row>
    <row r="117" spans="1:10" ht="22.5" customHeight="1" x14ac:dyDescent="0.25">
      <c r="A117" s="560"/>
      <c r="B117" s="561"/>
      <c r="C117" s="560"/>
      <c r="D117" s="457"/>
      <c r="E117" s="457"/>
      <c r="F117" s="561"/>
      <c r="G117" s="561"/>
      <c r="H117" s="561"/>
      <c r="I117" s="561"/>
      <c r="J117" s="559"/>
    </row>
    <row r="118" spans="1:10" ht="22.5" customHeight="1" x14ac:dyDescent="0.25">
      <c r="A118" s="560"/>
      <c r="B118" s="561"/>
      <c r="C118" s="560"/>
      <c r="D118" s="457"/>
      <c r="E118" s="457"/>
      <c r="F118" s="561"/>
      <c r="G118" s="561"/>
      <c r="H118" s="561"/>
      <c r="I118" s="561"/>
      <c r="J118" s="559"/>
    </row>
    <row r="119" spans="1:10" ht="22.5" customHeight="1" x14ac:dyDescent="0.25">
      <c r="A119" s="656" t="s">
        <v>46</v>
      </c>
      <c r="B119" s="656"/>
      <c r="C119" s="656"/>
      <c r="D119" s="656"/>
      <c r="E119" s="656"/>
      <c r="F119" s="656"/>
      <c r="G119" s="656"/>
      <c r="H119" s="656"/>
      <c r="I119" s="656"/>
      <c r="J119" s="458">
        <f>SUM(J109:J118)</f>
        <v>0</v>
      </c>
    </row>
    <row r="120" spans="1:10" ht="22.5" customHeight="1" x14ac:dyDescent="0.25">
      <c r="A120" s="666"/>
      <c r="B120" s="666"/>
      <c r="C120" s="666"/>
      <c r="D120" s="666"/>
      <c r="E120" s="666"/>
      <c r="F120" s="666"/>
      <c r="G120" s="666"/>
      <c r="H120" s="666"/>
      <c r="I120" s="666"/>
      <c r="J120" s="666"/>
    </row>
    <row r="121" spans="1:10" ht="22.5" customHeight="1" x14ac:dyDescent="0.25">
      <c r="A121" s="657" t="s">
        <v>47</v>
      </c>
      <c r="B121" s="657"/>
      <c r="C121" s="657"/>
      <c r="D121" s="657"/>
      <c r="E121" s="657"/>
      <c r="F121" s="657"/>
      <c r="G121" s="657"/>
      <c r="H121" s="657"/>
      <c r="I121" s="657"/>
      <c r="J121" s="657"/>
    </row>
    <row r="122" spans="1:10" ht="22.5" customHeight="1" x14ac:dyDescent="0.25">
      <c r="A122" s="293" t="s">
        <v>14</v>
      </c>
      <c r="B122" s="293" t="s">
        <v>275</v>
      </c>
      <c r="C122" s="293"/>
      <c r="D122" s="293" t="s">
        <v>43</v>
      </c>
      <c r="E122" s="293"/>
      <c r="F122" s="293"/>
      <c r="G122" s="293" t="s">
        <v>277</v>
      </c>
      <c r="H122" s="293"/>
      <c r="I122" s="293" t="s">
        <v>45</v>
      </c>
      <c r="J122" s="293" t="s">
        <v>9</v>
      </c>
    </row>
    <row r="123" spans="1:10" ht="22.5" customHeight="1" x14ac:dyDescent="0.25">
      <c r="A123" s="562"/>
      <c r="B123" s="563"/>
      <c r="C123" s="562"/>
      <c r="D123" s="563"/>
      <c r="E123" s="563"/>
      <c r="F123" s="563"/>
      <c r="G123" s="563"/>
      <c r="H123" s="563"/>
      <c r="I123" s="563"/>
      <c r="J123" s="565"/>
    </row>
    <row r="124" spans="1:10" ht="22.5" customHeight="1" x14ac:dyDescent="0.25">
      <c r="A124" s="562"/>
      <c r="B124" s="563"/>
      <c r="C124" s="562"/>
      <c r="D124" s="563"/>
      <c r="E124" s="563"/>
      <c r="F124" s="563"/>
      <c r="G124" s="563"/>
      <c r="H124" s="563"/>
      <c r="I124" s="563"/>
      <c r="J124" s="565"/>
    </row>
    <row r="125" spans="1:10" ht="22.5" customHeight="1" x14ac:dyDescent="0.25">
      <c r="A125" s="562"/>
      <c r="B125" s="563"/>
      <c r="C125" s="562"/>
      <c r="D125" s="563"/>
      <c r="E125" s="563"/>
      <c r="F125" s="563"/>
      <c r="G125" s="563"/>
      <c r="H125" s="563"/>
      <c r="I125" s="563"/>
      <c r="J125" s="565"/>
    </row>
    <row r="126" spans="1:10" ht="22.5" customHeight="1" x14ac:dyDescent="0.25">
      <c r="A126" s="562"/>
      <c r="B126" s="563"/>
      <c r="C126" s="562"/>
      <c r="D126" s="563"/>
      <c r="E126" s="563"/>
      <c r="F126" s="563"/>
      <c r="G126" s="563"/>
      <c r="H126" s="563"/>
      <c r="I126" s="563"/>
      <c r="J126" s="565"/>
    </row>
    <row r="127" spans="1:10" ht="22.5" customHeight="1" x14ac:dyDescent="0.25">
      <c r="A127" s="562"/>
      <c r="B127" s="563"/>
      <c r="C127" s="562"/>
      <c r="D127" s="563"/>
      <c r="E127" s="563"/>
      <c r="F127" s="563"/>
      <c r="G127" s="563"/>
      <c r="H127" s="563"/>
      <c r="I127" s="563"/>
      <c r="J127" s="565"/>
    </row>
    <row r="128" spans="1:10" ht="22.5" customHeight="1" x14ac:dyDescent="0.25">
      <c r="A128" s="562"/>
      <c r="B128" s="563"/>
      <c r="C128" s="562"/>
      <c r="D128" s="563"/>
      <c r="E128" s="563"/>
      <c r="F128" s="563"/>
      <c r="G128" s="563"/>
      <c r="H128" s="563"/>
      <c r="I128" s="563"/>
      <c r="J128" s="565"/>
    </row>
    <row r="129" spans="1:10" ht="22.5" customHeight="1" x14ac:dyDescent="0.25">
      <c r="A129" s="562"/>
      <c r="B129" s="563"/>
      <c r="C129" s="562"/>
      <c r="D129" s="563"/>
      <c r="E129" s="563"/>
      <c r="F129" s="563"/>
      <c r="G129" s="563"/>
      <c r="H129" s="563"/>
      <c r="I129" s="563"/>
      <c r="J129" s="565"/>
    </row>
    <row r="130" spans="1:10" ht="22.5" customHeight="1" x14ac:dyDescent="0.25">
      <c r="A130" s="562"/>
      <c r="B130" s="563"/>
      <c r="C130" s="562"/>
      <c r="D130" s="563"/>
      <c r="E130" s="563"/>
      <c r="F130" s="563"/>
      <c r="G130" s="563"/>
      <c r="H130" s="563"/>
      <c r="I130" s="563"/>
      <c r="J130" s="565"/>
    </row>
    <row r="131" spans="1:10" ht="22.5" customHeight="1" x14ac:dyDescent="0.25">
      <c r="A131" s="562"/>
      <c r="B131" s="563"/>
      <c r="C131" s="562"/>
      <c r="D131" s="563"/>
      <c r="E131" s="563"/>
      <c r="F131" s="563"/>
      <c r="G131" s="563"/>
      <c r="H131" s="563"/>
      <c r="I131" s="563"/>
      <c r="J131" s="565"/>
    </row>
    <row r="132" spans="1:10" ht="22.5" customHeight="1" x14ac:dyDescent="0.25">
      <c r="A132" s="562"/>
      <c r="B132" s="563"/>
      <c r="C132" s="562"/>
      <c r="D132" s="563"/>
      <c r="E132" s="563"/>
      <c r="F132" s="563"/>
      <c r="G132" s="563"/>
      <c r="H132" s="563"/>
      <c r="I132" s="563"/>
      <c r="J132" s="565"/>
    </row>
    <row r="133" spans="1:10" ht="22.5" customHeight="1" x14ac:dyDescent="0.25">
      <c r="A133" s="562"/>
      <c r="B133" s="563"/>
      <c r="C133" s="562"/>
      <c r="D133" s="563"/>
      <c r="E133" s="563"/>
      <c r="F133" s="563"/>
      <c r="G133" s="563"/>
      <c r="H133" s="563"/>
      <c r="I133" s="563"/>
      <c r="J133" s="565"/>
    </row>
    <row r="134" spans="1:10" ht="22.5" customHeight="1" x14ac:dyDescent="0.25">
      <c r="A134" s="562"/>
      <c r="B134" s="563"/>
      <c r="C134" s="562"/>
      <c r="D134" s="563"/>
      <c r="E134" s="563"/>
      <c r="F134" s="563"/>
      <c r="G134" s="563"/>
      <c r="H134" s="563"/>
      <c r="I134" s="563"/>
      <c r="J134" s="565"/>
    </row>
    <row r="135" spans="1:10" ht="22.5" customHeight="1" x14ac:dyDescent="0.25">
      <c r="A135" s="562"/>
      <c r="B135" s="563"/>
      <c r="C135" s="562"/>
      <c r="D135" s="563"/>
      <c r="E135" s="563"/>
      <c r="F135" s="563"/>
      <c r="G135" s="563"/>
      <c r="H135" s="563"/>
      <c r="I135" s="563"/>
      <c r="J135" s="565"/>
    </row>
    <row r="136" spans="1:10" ht="22.5" customHeight="1" x14ac:dyDescent="0.25">
      <c r="A136" s="562"/>
      <c r="B136" s="563"/>
      <c r="C136" s="562"/>
      <c r="D136" s="563"/>
      <c r="E136" s="563"/>
      <c r="F136" s="563"/>
      <c r="G136" s="563"/>
      <c r="H136" s="563"/>
      <c r="I136" s="563"/>
      <c r="J136" s="565"/>
    </row>
    <row r="137" spans="1:10" ht="22.5" customHeight="1" x14ac:dyDescent="0.25">
      <c r="A137" s="562"/>
      <c r="B137" s="563"/>
      <c r="C137" s="562"/>
      <c r="D137" s="563"/>
      <c r="E137" s="563"/>
      <c r="F137" s="563"/>
      <c r="G137" s="563"/>
      <c r="H137" s="563"/>
      <c r="I137" s="563"/>
      <c r="J137" s="565"/>
    </row>
    <row r="138" spans="1:10" ht="22.5" customHeight="1" x14ac:dyDescent="0.25">
      <c r="A138" s="656" t="s">
        <v>40</v>
      </c>
      <c r="B138" s="656"/>
      <c r="C138" s="656"/>
      <c r="D138" s="656"/>
      <c r="E138" s="656"/>
      <c r="F138" s="656"/>
      <c r="G138" s="656"/>
      <c r="H138" s="656"/>
      <c r="I138" s="656"/>
      <c r="J138" s="448">
        <f>SUM(J123:J137)</f>
        <v>0</v>
      </c>
    </row>
    <row r="139" spans="1:10" ht="22.5" customHeight="1" x14ac:dyDescent="0.25">
      <c r="A139" s="666"/>
      <c r="B139" s="666"/>
      <c r="C139" s="666"/>
      <c r="D139" s="666"/>
      <c r="E139" s="666"/>
      <c r="F139" s="666"/>
      <c r="G139" s="666"/>
      <c r="H139" s="666"/>
      <c r="I139" s="666"/>
      <c r="J139" s="666"/>
    </row>
    <row r="140" spans="1:10" ht="22.5" customHeight="1" x14ac:dyDescent="0.25">
      <c r="A140" s="657" t="s">
        <v>48</v>
      </c>
      <c r="B140" s="657"/>
      <c r="C140" s="657"/>
      <c r="D140" s="657"/>
      <c r="E140" s="657"/>
      <c r="F140" s="657"/>
      <c r="G140" s="657"/>
      <c r="H140" s="657"/>
      <c r="I140" s="657"/>
      <c r="J140" s="657"/>
    </row>
    <row r="141" spans="1:10" ht="22.5" customHeight="1" x14ac:dyDescent="0.25">
      <c r="A141" s="671" t="s">
        <v>49</v>
      </c>
      <c r="B141" s="671"/>
      <c r="C141" s="671"/>
      <c r="D141" s="416"/>
      <c r="E141" s="416"/>
      <c r="F141" s="416"/>
      <c r="G141" s="416"/>
      <c r="H141" s="416"/>
      <c r="I141" s="416"/>
      <c r="J141" s="144"/>
    </row>
    <row r="142" spans="1:10" ht="22.5" customHeight="1" x14ac:dyDescent="0.25">
      <c r="A142" s="293" t="s">
        <v>12</v>
      </c>
      <c r="B142" s="24" t="s">
        <v>50</v>
      </c>
      <c r="C142" s="667" t="s">
        <v>13</v>
      </c>
      <c r="D142" s="667"/>
      <c r="E142" s="667"/>
      <c r="F142" s="667"/>
      <c r="G142" s="667"/>
      <c r="H142" s="293" t="s">
        <v>51</v>
      </c>
      <c r="I142" s="293" t="s">
        <v>39</v>
      </c>
      <c r="J142" s="144"/>
    </row>
    <row r="143" spans="1:10" ht="22.5" customHeight="1" x14ac:dyDescent="0.25">
      <c r="A143" s="385"/>
      <c r="B143" s="451"/>
      <c r="C143" s="612"/>
      <c r="D143" s="612"/>
      <c r="E143" s="612"/>
      <c r="F143" s="612"/>
      <c r="G143" s="612"/>
      <c r="H143" s="459"/>
      <c r="I143" s="454">
        <f>A143*H143</f>
        <v>0</v>
      </c>
      <c r="J143" s="144"/>
    </row>
    <row r="144" spans="1:10" ht="22.5" customHeight="1" x14ac:dyDescent="0.25">
      <c r="A144" s="385"/>
      <c r="B144" s="451"/>
      <c r="C144" s="612"/>
      <c r="D144" s="612"/>
      <c r="E144" s="612"/>
      <c r="F144" s="612"/>
      <c r="G144" s="612"/>
      <c r="H144" s="459"/>
      <c r="I144" s="454">
        <f t="shared" ref="I144:I148" si="5">A144*H144</f>
        <v>0</v>
      </c>
      <c r="J144" s="144"/>
    </row>
    <row r="145" spans="1:10" ht="22.5" customHeight="1" x14ac:dyDescent="0.25">
      <c r="A145" s="385"/>
      <c r="B145" s="451"/>
      <c r="C145" s="612"/>
      <c r="D145" s="612"/>
      <c r="E145" s="612"/>
      <c r="F145" s="612"/>
      <c r="G145" s="612"/>
      <c r="H145" s="459"/>
      <c r="I145" s="454">
        <f t="shared" si="5"/>
        <v>0</v>
      </c>
      <c r="J145" s="144"/>
    </row>
    <row r="146" spans="1:10" ht="22.5" customHeight="1" x14ac:dyDescent="0.25">
      <c r="A146" s="385"/>
      <c r="B146" s="451"/>
      <c r="C146" s="612"/>
      <c r="D146" s="612"/>
      <c r="E146" s="612"/>
      <c r="F146" s="612"/>
      <c r="G146" s="612"/>
      <c r="H146" s="459"/>
      <c r="I146" s="454">
        <f t="shared" si="5"/>
        <v>0</v>
      </c>
      <c r="J146" s="144"/>
    </row>
    <row r="147" spans="1:10" ht="22.5" customHeight="1" x14ac:dyDescent="0.25">
      <c r="A147" s="385"/>
      <c r="B147" s="451"/>
      <c r="C147" s="612"/>
      <c r="D147" s="612"/>
      <c r="E147" s="612"/>
      <c r="F147" s="612"/>
      <c r="G147" s="612"/>
      <c r="H147" s="459"/>
      <c r="I147" s="454">
        <f t="shared" si="5"/>
        <v>0</v>
      </c>
      <c r="J147" s="144"/>
    </row>
    <row r="148" spans="1:10" ht="22.5" customHeight="1" x14ac:dyDescent="0.25">
      <c r="A148" s="385"/>
      <c r="B148" s="451"/>
      <c r="C148" s="612"/>
      <c r="D148" s="612"/>
      <c r="E148" s="612"/>
      <c r="F148" s="612"/>
      <c r="G148" s="612"/>
      <c r="H148" s="459"/>
      <c r="I148" s="454">
        <f t="shared" si="5"/>
        <v>0</v>
      </c>
      <c r="J148" s="144"/>
    </row>
    <row r="149" spans="1:10" ht="22.5" customHeight="1" x14ac:dyDescent="0.25">
      <c r="A149" s="656" t="s">
        <v>46</v>
      </c>
      <c r="B149" s="656"/>
      <c r="C149" s="656"/>
      <c r="D149" s="656"/>
      <c r="E149" s="656"/>
      <c r="F149" s="656"/>
      <c r="G149" s="656"/>
      <c r="H149" s="656"/>
      <c r="I149" s="454">
        <f>SUM(I143:I148)</f>
        <v>0</v>
      </c>
      <c r="J149" s="144"/>
    </row>
  </sheetData>
  <mergeCells count="118">
    <mergeCell ref="A76:J76"/>
    <mergeCell ref="A77:J77"/>
    <mergeCell ref="D78:I78"/>
    <mergeCell ref="B88:C88"/>
    <mergeCell ref="A139:J139"/>
    <mergeCell ref="A140:J140"/>
    <mergeCell ref="A141:C141"/>
    <mergeCell ref="A121:J121"/>
    <mergeCell ref="A138:I138"/>
    <mergeCell ref="A96:J96"/>
    <mergeCell ref="B97:C97"/>
    <mergeCell ref="B98:C98"/>
    <mergeCell ref="A119:I119"/>
    <mergeCell ref="B103:C103"/>
    <mergeCell ref="B104:C104"/>
    <mergeCell ref="A105:D105"/>
    <mergeCell ref="A107:J107"/>
    <mergeCell ref="A78:B78"/>
    <mergeCell ref="D81:I81"/>
    <mergeCell ref="D82:I82"/>
    <mergeCell ref="A83:B83"/>
    <mergeCell ref="B89:C89"/>
    <mergeCell ref="B90:C90"/>
    <mergeCell ref="B92:C92"/>
    <mergeCell ref="A149:H149"/>
    <mergeCell ref="C143:G143"/>
    <mergeCell ref="C144:G144"/>
    <mergeCell ref="C145:G145"/>
    <mergeCell ref="C146:G146"/>
    <mergeCell ref="C147:G147"/>
    <mergeCell ref="C148:G148"/>
    <mergeCell ref="A120:J120"/>
    <mergeCell ref="B100:C100"/>
    <mergeCell ref="B101:C101"/>
    <mergeCell ref="C142:G142"/>
    <mergeCell ref="B102:C102"/>
    <mergeCell ref="A93:D93"/>
    <mergeCell ref="A95:J95"/>
    <mergeCell ref="B91:C91"/>
    <mergeCell ref="B99:C99"/>
    <mergeCell ref="D84:I84"/>
    <mergeCell ref="D83:I83"/>
    <mergeCell ref="A86:J86"/>
    <mergeCell ref="B87:C87"/>
    <mergeCell ref="A79:B79"/>
    <mergeCell ref="A80:B80"/>
    <mergeCell ref="A81:B81"/>
    <mergeCell ref="A82:B82"/>
    <mergeCell ref="D79:I79"/>
    <mergeCell ref="D80:I80"/>
    <mergeCell ref="H75:I75"/>
    <mergeCell ref="A70:J71"/>
    <mergeCell ref="A13:C13"/>
    <mergeCell ref="F14:G14"/>
    <mergeCell ref="I50:J50"/>
    <mergeCell ref="I51:J51"/>
    <mergeCell ref="I52:J52"/>
    <mergeCell ref="I63:J63"/>
    <mergeCell ref="A62:C62"/>
    <mergeCell ref="A63:C63"/>
    <mergeCell ref="A64:C64"/>
    <mergeCell ref="A60:C60"/>
    <mergeCell ref="A61:C61"/>
    <mergeCell ref="F37:I37"/>
    <mergeCell ref="F38:I38"/>
    <mergeCell ref="A65:C65"/>
    <mergeCell ref="A66:C66"/>
    <mergeCell ref="A67:C67"/>
    <mergeCell ref="F17:G17"/>
    <mergeCell ref="F18:G18"/>
    <mergeCell ref="F19:G19"/>
    <mergeCell ref="A41:D41"/>
    <mergeCell ref="F64:J64"/>
    <mergeCell ref="A16:C16"/>
    <mergeCell ref="C2:G2"/>
    <mergeCell ref="C4:G4"/>
    <mergeCell ref="B7:D7"/>
    <mergeCell ref="F13:G13"/>
    <mergeCell ref="I61:J61"/>
    <mergeCell ref="A9:C9"/>
    <mergeCell ref="F9:H9"/>
    <mergeCell ref="A10:C10"/>
    <mergeCell ref="F10:G10"/>
    <mergeCell ref="A11:D11"/>
    <mergeCell ref="I49:J49"/>
    <mergeCell ref="F11:G11"/>
    <mergeCell ref="A12:C12"/>
    <mergeCell ref="F12:G12"/>
    <mergeCell ref="I53:J53"/>
    <mergeCell ref="I54:J54"/>
    <mergeCell ref="F42:I42"/>
    <mergeCell ref="F39:I39"/>
    <mergeCell ref="F40:I40"/>
    <mergeCell ref="F43:I43"/>
    <mergeCell ref="F44:I44"/>
    <mergeCell ref="F45:I45"/>
    <mergeCell ref="F16:G16"/>
    <mergeCell ref="A15:C15"/>
    <mergeCell ref="A14:C14"/>
    <mergeCell ref="I65:J65"/>
    <mergeCell ref="A68:C68"/>
    <mergeCell ref="F60:I60"/>
    <mergeCell ref="F55:I55"/>
    <mergeCell ref="F63:H63"/>
    <mergeCell ref="F61:H61"/>
    <mergeCell ref="G49:H49"/>
    <mergeCell ref="F56:I56"/>
    <mergeCell ref="F57:I57"/>
    <mergeCell ref="F58:I58"/>
    <mergeCell ref="F59:I59"/>
    <mergeCell ref="G50:H50"/>
    <mergeCell ref="G51:H51"/>
    <mergeCell ref="G52:H52"/>
    <mergeCell ref="G53:H53"/>
    <mergeCell ref="G54:H54"/>
    <mergeCell ref="F46:I46"/>
    <mergeCell ref="F48:J48"/>
    <mergeCell ref="F41:I41"/>
  </mergeCells>
  <printOptions horizontalCentered="1" verticalCentered="1"/>
  <pageMargins left="0.25" right="0.25" top="0.5" bottom="0" header="0.3" footer="0.3"/>
  <pageSetup paperSize="5" scale="59" fitToHeight="0" orientation="portrait" r:id="rId1"/>
  <rowBreaks count="1" manualBreakCount="1">
    <brk id="75" max="16383" man="1"/>
  </rowBreaks>
  <ignoredErrors>
    <ignoredError sqref="D27" evalError="1"/>
    <ignoredError sqref="J45" unlocked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5"/>
  <sheetViews>
    <sheetView view="pageLayout" zoomScale="90" zoomScaleNormal="100" zoomScaleSheetLayoutView="110" zoomScalePageLayoutView="90" workbookViewId="0">
      <selection activeCell="A20" sqref="A20:E21"/>
    </sheetView>
  </sheetViews>
  <sheetFormatPr defaultRowHeight="15" x14ac:dyDescent="0.25"/>
  <cols>
    <col min="2" max="2" width="19.7109375" customWidth="1"/>
    <col min="4" max="4" width="9.42578125" customWidth="1"/>
    <col min="5" max="5" width="13.7109375" customWidth="1"/>
    <col min="7" max="7" width="24.85546875" customWidth="1"/>
    <col min="8" max="8" width="11.5703125" customWidth="1"/>
    <col min="9" max="9" width="13.140625" customWidth="1"/>
  </cols>
  <sheetData>
    <row r="1" spans="1:9" ht="18" x14ac:dyDescent="0.25">
      <c r="A1" s="690" t="s">
        <v>202</v>
      </c>
      <c r="B1" s="690"/>
      <c r="C1" s="690"/>
      <c r="D1" s="690"/>
      <c r="E1" s="690"/>
      <c r="F1" s="690"/>
      <c r="G1" s="690"/>
      <c r="H1" s="690"/>
      <c r="I1" s="690"/>
    </row>
    <row r="2" spans="1:9" ht="15.75" x14ac:dyDescent="0.25">
      <c r="A2" s="691" t="s">
        <v>225</v>
      </c>
      <c r="B2" s="691"/>
      <c r="C2" s="691"/>
      <c r="D2" s="691"/>
      <c r="E2" s="691"/>
      <c r="F2" s="691"/>
      <c r="G2" s="691"/>
      <c r="H2" s="691"/>
      <c r="I2" s="691"/>
    </row>
    <row r="3" spans="1:9" ht="31.5" customHeight="1" x14ac:dyDescent="0.25">
      <c r="A3" s="77" t="s">
        <v>0</v>
      </c>
      <c r="B3" s="692"/>
      <c r="C3" s="692"/>
      <c r="D3" s="692"/>
      <c r="E3" s="692"/>
      <c r="F3" s="692"/>
      <c r="G3" t="s">
        <v>52</v>
      </c>
      <c r="H3" s="693"/>
      <c r="I3" s="693"/>
    </row>
    <row r="4" spans="1:9" ht="29.25" customHeight="1" x14ac:dyDescent="0.25">
      <c r="A4" s="77" t="s">
        <v>203</v>
      </c>
      <c r="B4" s="692"/>
      <c r="C4" s="692"/>
      <c r="D4" s="692"/>
      <c r="E4" s="692"/>
      <c r="F4" s="692"/>
      <c r="G4" s="692"/>
      <c r="H4" s="5"/>
      <c r="I4" s="5"/>
    </row>
    <row r="5" spans="1:9" ht="15.75" x14ac:dyDescent="0.25">
      <c r="A5" s="11"/>
      <c r="B5" s="76"/>
      <c r="C5" s="76"/>
      <c r="D5" s="76"/>
      <c r="E5" s="76"/>
      <c r="F5" s="76"/>
      <c r="G5" s="76"/>
      <c r="H5" s="20"/>
      <c r="I5" s="20"/>
    </row>
    <row r="6" spans="1:9" ht="15.75" x14ac:dyDescent="0.25">
      <c r="A6" s="700" t="s">
        <v>198</v>
      </c>
      <c r="B6" s="700"/>
      <c r="C6" s="78"/>
      <c r="D6" s="78"/>
      <c r="E6" s="76"/>
      <c r="F6" s="76"/>
      <c r="G6" s="76"/>
      <c r="H6" s="20"/>
      <c r="I6" s="20"/>
    </row>
    <row r="7" spans="1:9" x14ac:dyDescent="0.25">
      <c r="A7" s="696"/>
      <c r="B7" s="696"/>
      <c r="C7" s="696"/>
      <c r="D7" s="696"/>
      <c r="E7" s="696"/>
      <c r="F7" s="696"/>
      <c r="G7" s="696"/>
      <c r="H7" s="696"/>
      <c r="I7" s="696"/>
    </row>
    <row r="8" spans="1:9" ht="15.75" x14ac:dyDescent="0.25">
      <c r="A8" s="697" t="s">
        <v>221</v>
      </c>
      <c r="B8" s="697"/>
      <c r="C8" s="697"/>
      <c r="D8" s="697"/>
      <c r="E8" s="697"/>
      <c r="F8" s="5"/>
      <c r="G8" s="697" t="s">
        <v>199</v>
      </c>
      <c r="H8" s="697"/>
      <c r="I8" s="697"/>
    </row>
    <row r="9" spans="1:9" x14ac:dyDescent="0.25">
      <c r="A9" s="695" t="s">
        <v>222</v>
      </c>
      <c r="B9" s="695"/>
      <c r="C9" s="695"/>
      <c r="D9" s="695"/>
      <c r="E9" s="695"/>
      <c r="F9" s="5"/>
      <c r="G9" s="10"/>
      <c r="H9" s="706" t="s">
        <v>33</v>
      </c>
      <c r="I9" s="706"/>
    </row>
    <row r="10" spans="1:9" ht="21.75" customHeight="1" x14ac:dyDescent="0.25">
      <c r="A10" s="12" t="s">
        <v>54</v>
      </c>
      <c r="B10" s="12" t="s">
        <v>53</v>
      </c>
      <c r="C10" s="12" t="s">
        <v>55</v>
      </c>
      <c r="D10" s="12" t="s">
        <v>56</v>
      </c>
      <c r="E10" s="12" t="s">
        <v>9</v>
      </c>
      <c r="F10" s="5"/>
      <c r="G10" s="9" t="s">
        <v>57</v>
      </c>
      <c r="H10" s="707"/>
      <c r="I10" s="708"/>
    </row>
    <row r="11" spans="1:9" ht="21.75" customHeight="1" x14ac:dyDescent="0.25">
      <c r="A11" s="566"/>
      <c r="B11" s="18"/>
      <c r="C11" s="18"/>
      <c r="D11" s="567"/>
      <c r="E11" s="114">
        <f>A11*C11*D11</f>
        <v>0</v>
      </c>
      <c r="F11" s="5"/>
      <c r="G11" s="9" t="s">
        <v>58</v>
      </c>
      <c r="H11" s="707"/>
      <c r="I11" s="708"/>
    </row>
    <row r="12" spans="1:9" ht="21.75" customHeight="1" x14ac:dyDescent="0.25">
      <c r="A12" s="566"/>
      <c r="B12" s="18"/>
      <c r="C12" s="18"/>
      <c r="D12" s="567"/>
      <c r="E12" s="114">
        <f t="shared" ref="E12:E18" si="0">A12*C12*D12</f>
        <v>0</v>
      </c>
      <c r="F12" s="5"/>
      <c r="G12" s="9" t="s">
        <v>59</v>
      </c>
      <c r="H12" s="707"/>
      <c r="I12" s="708"/>
    </row>
    <row r="13" spans="1:9" ht="21.75" customHeight="1" x14ac:dyDescent="0.25">
      <c r="A13" s="566"/>
      <c r="B13" s="18"/>
      <c r="C13" s="18"/>
      <c r="D13" s="567"/>
      <c r="E13" s="114">
        <f t="shared" si="0"/>
        <v>0</v>
      </c>
      <c r="F13" s="5"/>
      <c r="G13" s="9" t="s">
        <v>60</v>
      </c>
      <c r="H13" s="707"/>
      <c r="I13" s="708"/>
    </row>
    <row r="14" spans="1:9" ht="21.75" customHeight="1" x14ac:dyDescent="0.25">
      <c r="A14" s="566"/>
      <c r="B14" s="18"/>
      <c r="C14" s="18"/>
      <c r="D14" s="567"/>
      <c r="E14" s="114">
        <f t="shared" si="0"/>
        <v>0</v>
      </c>
      <c r="F14" s="5"/>
      <c r="G14" s="9" t="s">
        <v>61</v>
      </c>
      <c r="H14" s="707"/>
      <c r="I14" s="708"/>
    </row>
    <row r="15" spans="1:9" ht="21.75" customHeight="1" x14ac:dyDescent="0.25">
      <c r="A15" s="566"/>
      <c r="B15" s="18"/>
      <c r="C15" s="18"/>
      <c r="D15" s="567"/>
      <c r="E15" s="114">
        <f t="shared" si="0"/>
        <v>0</v>
      </c>
      <c r="F15" s="5"/>
      <c r="G15" s="9" t="s">
        <v>62</v>
      </c>
      <c r="H15" s="707"/>
      <c r="I15" s="708"/>
    </row>
    <row r="16" spans="1:9" ht="21.75" customHeight="1" x14ac:dyDescent="0.25">
      <c r="A16" s="566"/>
      <c r="B16" s="18"/>
      <c r="C16" s="18"/>
      <c r="D16" s="567"/>
      <c r="E16" s="114">
        <f t="shared" si="0"/>
        <v>0</v>
      </c>
      <c r="F16" s="5"/>
      <c r="G16" s="9" t="s">
        <v>63</v>
      </c>
      <c r="H16" s="707"/>
      <c r="I16" s="708"/>
    </row>
    <row r="17" spans="1:9" ht="21.75" customHeight="1" x14ac:dyDescent="0.25">
      <c r="A17" s="566"/>
      <c r="B17" s="18"/>
      <c r="C17" s="18"/>
      <c r="D17" s="567"/>
      <c r="E17" s="114">
        <f t="shared" si="0"/>
        <v>0</v>
      </c>
      <c r="F17" s="5"/>
      <c r="G17" s="9" t="s">
        <v>64</v>
      </c>
      <c r="H17" s="707"/>
      <c r="I17" s="708"/>
    </row>
    <row r="18" spans="1:9" ht="21.75" customHeight="1" x14ac:dyDescent="0.25">
      <c r="A18" s="566"/>
      <c r="B18" s="18"/>
      <c r="C18" s="18"/>
      <c r="D18" s="567"/>
      <c r="E18" s="114">
        <f t="shared" si="0"/>
        <v>0</v>
      </c>
      <c r="F18" s="5"/>
      <c r="G18" s="9" t="s">
        <v>65</v>
      </c>
      <c r="H18" s="707"/>
      <c r="I18" s="708"/>
    </row>
    <row r="19" spans="1:9" ht="21.75" customHeight="1" x14ac:dyDescent="0.25">
      <c r="A19" s="698" t="s">
        <v>278</v>
      </c>
      <c r="B19" s="698"/>
      <c r="C19" s="698"/>
      <c r="D19" s="698"/>
      <c r="E19" s="121">
        <f>SUM(E11:E18)</f>
        <v>0</v>
      </c>
      <c r="F19" s="5"/>
      <c r="G19" s="9" t="s">
        <v>66</v>
      </c>
      <c r="H19" s="707"/>
      <c r="I19" s="708"/>
    </row>
    <row r="20" spans="1:9" ht="21.75" customHeight="1" x14ac:dyDescent="0.25">
      <c r="A20" s="694" t="s">
        <v>223</v>
      </c>
      <c r="B20" s="694"/>
      <c r="C20" s="694"/>
      <c r="D20" s="694"/>
      <c r="E20" s="694"/>
      <c r="F20" s="5"/>
      <c r="G20" s="9" t="s">
        <v>67</v>
      </c>
      <c r="H20" s="707"/>
      <c r="I20" s="708"/>
    </row>
    <row r="21" spans="1:9" ht="21.75" customHeight="1" x14ac:dyDescent="0.25">
      <c r="A21" s="694"/>
      <c r="B21" s="694"/>
      <c r="C21" s="694"/>
      <c r="D21" s="694"/>
      <c r="E21" s="694"/>
      <c r="F21" s="5"/>
      <c r="G21" s="9" t="s">
        <v>200</v>
      </c>
      <c r="H21" s="707"/>
      <c r="I21" s="708"/>
    </row>
    <row r="22" spans="1:9" ht="21.75" customHeight="1" x14ac:dyDescent="0.25">
      <c r="A22" s="12" t="s">
        <v>7</v>
      </c>
      <c r="B22" s="12" t="s">
        <v>68</v>
      </c>
      <c r="C22" s="12" t="s">
        <v>69</v>
      </c>
      <c r="D22" s="12" t="s">
        <v>70</v>
      </c>
      <c r="E22" s="12" t="s">
        <v>9</v>
      </c>
      <c r="F22" s="5"/>
      <c r="G22" s="9" t="s">
        <v>71</v>
      </c>
      <c r="H22" s="707"/>
      <c r="I22" s="708"/>
    </row>
    <row r="23" spans="1:9" ht="21.75" customHeight="1" x14ac:dyDescent="0.25">
      <c r="A23" s="104"/>
      <c r="B23" s="13"/>
      <c r="C23" s="104"/>
      <c r="D23" s="104"/>
      <c r="E23" s="114">
        <f>(C23*D23)*A23</f>
        <v>0</v>
      </c>
      <c r="F23" s="5"/>
      <c r="G23" s="9" t="s">
        <v>72</v>
      </c>
      <c r="H23" s="707"/>
      <c r="I23" s="708"/>
    </row>
    <row r="24" spans="1:9" ht="21.75" customHeight="1" x14ac:dyDescent="0.25">
      <c r="A24" s="104"/>
      <c r="B24" s="13"/>
      <c r="C24" s="104"/>
      <c r="D24" s="104"/>
      <c r="E24" s="114">
        <f t="shared" ref="E24:E34" si="1">(C24*D24)*A24</f>
        <v>0</v>
      </c>
      <c r="F24" s="5"/>
      <c r="G24" s="9" t="s">
        <v>73</v>
      </c>
      <c r="H24" s="707"/>
      <c r="I24" s="708"/>
    </row>
    <row r="25" spans="1:9" ht="21.75" customHeight="1" x14ac:dyDescent="0.25">
      <c r="A25" s="104"/>
      <c r="B25" s="13"/>
      <c r="C25" s="104"/>
      <c r="D25" s="104"/>
      <c r="E25" s="114">
        <f t="shared" si="1"/>
        <v>0</v>
      </c>
      <c r="F25" s="5"/>
      <c r="G25" s="9"/>
      <c r="H25" s="707"/>
      <c r="I25" s="708"/>
    </row>
    <row r="26" spans="1:9" ht="21.75" customHeight="1" x14ac:dyDescent="0.25">
      <c r="A26" s="104"/>
      <c r="B26" s="13"/>
      <c r="C26" s="104"/>
      <c r="D26" s="104"/>
      <c r="E26" s="114">
        <f t="shared" si="1"/>
        <v>0</v>
      </c>
      <c r="F26" s="5"/>
      <c r="G26" s="9" t="s">
        <v>74</v>
      </c>
      <c r="H26" s="707"/>
      <c r="I26" s="708"/>
    </row>
    <row r="27" spans="1:9" ht="21.75" customHeight="1" x14ac:dyDescent="0.25">
      <c r="A27" s="104"/>
      <c r="B27" s="13"/>
      <c r="C27" s="104"/>
      <c r="D27" s="104"/>
      <c r="E27" s="114">
        <f t="shared" si="1"/>
        <v>0</v>
      </c>
      <c r="F27" s="5"/>
      <c r="G27" s="9" t="s">
        <v>75</v>
      </c>
      <c r="H27" s="707"/>
      <c r="I27" s="708"/>
    </row>
    <row r="28" spans="1:9" ht="21.75" customHeight="1" x14ac:dyDescent="0.25">
      <c r="A28" s="104"/>
      <c r="B28" s="13"/>
      <c r="C28" s="104"/>
      <c r="D28" s="104"/>
      <c r="E28" s="114">
        <f t="shared" si="1"/>
        <v>0</v>
      </c>
      <c r="F28" s="5"/>
      <c r="G28" s="9" t="s">
        <v>76</v>
      </c>
      <c r="H28" s="707"/>
      <c r="I28" s="708"/>
    </row>
    <row r="29" spans="1:9" ht="21.75" customHeight="1" x14ac:dyDescent="0.25">
      <c r="A29" s="104"/>
      <c r="B29" s="13"/>
      <c r="C29" s="104"/>
      <c r="D29" s="104"/>
      <c r="E29" s="114">
        <f t="shared" si="1"/>
        <v>0</v>
      </c>
      <c r="F29" s="5"/>
      <c r="G29" s="9" t="s">
        <v>77</v>
      </c>
      <c r="H29" s="707"/>
      <c r="I29" s="708"/>
    </row>
    <row r="30" spans="1:9" ht="21.75" customHeight="1" x14ac:dyDescent="0.25">
      <c r="A30" s="104"/>
      <c r="B30" s="13"/>
      <c r="C30" s="104"/>
      <c r="D30" s="104"/>
      <c r="E30" s="114">
        <f t="shared" si="1"/>
        <v>0</v>
      </c>
      <c r="F30" s="5"/>
      <c r="G30" s="9" t="s">
        <v>78</v>
      </c>
      <c r="H30" s="707"/>
      <c r="I30" s="708"/>
    </row>
    <row r="31" spans="1:9" ht="21.75" customHeight="1" thickBot="1" x14ac:dyDescent="0.3">
      <c r="A31" s="104"/>
      <c r="B31" s="13"/>
      <c r="C31" s="104"/>
      <c r="D31" s="104"/>
      <c r="E31" s="114">
        <f t="shared" si="1"/>
        <v>0</v>
      </c>
      <c r="F31" s="5"/>
      <c r="G31" s="19" t="s">
        <v>79</v>
      </c>
      <c r="H31" s="718"/>
      <c r="I31" s="719"/>
    </row>
    <row r="32" spans="1:9" ht="21.75" customHeight="1" thickTop="1" x14ac:dyDescent="0.25">
      <c r="A32" s="104"/>
      <c r="B32" s="13"/>
      <c r="C32" s="104"/>
      <c r="D32" s="104"/>
      <c r="E32" s="114">
        <f t="shared" si="1"/>
        <v>0</v>
      </c>
      <c r="F32" s="5"/>
      <c r="G32" s="105" t="s">
        <v>80</v>
      </c>
      <c r="H32" s="720">
        <f>SUM(H10:I31)</f>
        <v>0</v>
      </c>
      <c r="I32" s="721"/>
    </row>
    <row r="33" spans="1:9" ht="21.75" customHeight="1" x14ac:dyDescent="0.25">
      <c r="A33" s="104"/>
      <c r="B33" s="13"/>
      <c r="C33" s="104"/>
      <c r="D33" s="104"/>
      <c r="E33" s="114">
        <f t="shared" si="1"/>
        <v>0</v>
      </c>
      <c r="F33" s="5"/>
      <c r="G33" s="699" t="s">
        <v>81</v>
      </c>
      <c r="H33" s="699"/>
      <c r="I33" s="699"/>
    </row>
    <row r="34" spans="1:9" ht="21.75" customHeight="1" x14ac:dyDescent="0.25">
      <c r="A34" s="104"/>
      <c r="B34" s="13"/>
      <c r="C34" s="104"/>
      <c r="D34" s="104"/>
      <c r="E34" s="114">
        <f t="shared" si="1"/>
        <v>0</v>
      </c>
      <c r="F34" s="5"/>
      <c r="G34" s="699"/>
      <c r="H34" s="699"/>
      <c r="I34" s="699"/>
    </row>
    <row r="35" spans="1:9" ht="21.75" customHeight="1" x14ac:dyDescent="0.25">
      <c r="A35" s="698" t="s">
        <v>82</v>
      </c>
      <c r="B35" s="698"/>
      <c r="C35" s="698"/>
      <c r="D35" s="698"/>
      <c r="E35" s="121">
        <f>SUM(E23:E34)</f>
        <v>0</v>
      </c>
      <c r="F35" s="5"/>
      <c r="G35" s="613"/>
      <c r="H35" s="613"/>
      <c r="I35" s="106"/>
    </row>
    <row r="36" spans="1:9" ht="21.75" customHeight="1" x14ac:dyDescent="0.25">
      <c r="A36" s="694" t="s">
        <v>224</v>
      </c>
      <c r="B36" s="694"/>
      <c r="C36" s="694"/>
      <c r="D36" s="694"/>
      <c r="E36" s="694"/>
      <c r="F36" s="5"/>
      <c r="G36" s="613"/>
      <c r="H36" s="613"/>
      <c r="I36" s="106"/>
    </row>
    <row r="37" spans="1:9" ht="21.75" customHeight="1" x14ac:dyDescent="0.25">
      <c r="A37" s="694"/>
      <c r="B37" s="694"/>
      <c r="C37" s="694"/>
      <c r="D37" s="694"/>
      <c r="E37" s="694"/>
      <c r="F37" s="5"/>
      <c r="G37" s="613"/>
      <c r="H37" s="613"/>
      <c r="I37" s="106"/>
    </row>
    <row r="38" spans="1:9" ht="21.75" customHeight="1" thickBot="1" x14ac:dyDescent="0.3">
      <c r="A38" s="702"/>
      <c r="B38" s="702"/>
      <c r="C38" s="702"/>
      <c r="D38" s="702"/>
      <c r="E38" s="123" t="s">
        <v>9</v>
      </c>
      <c r="F38" s="5"/>
      <c r="G38" s="613"/>
      <c r="H38" s="613"/>
      <c r="I38" s="107"/>
    </row>
    <row r="39" spans="1:9" ht="21.75" customHeight="1" thickTop="1" x14ac:dyDescent="0.25">
      <c r="A39" s="703"/>
      <c r="B39" s="703"/>
      <c r="C39" s="703"/>
      <c r="D39" s="703"/>
      <c r="E39" s="122"/>
      <c r="F39" s="5"/>
      <c r="G39" s="704" t="s">
        <v>83</v>
      </c>
      <c r="H39" s="705"/>
      <c r="I39" s="110">
        <f>SUM(I35:I38)</f>
        <v>0</v>
      </c>
    </row>
    <row r="40" spans="1:9" ht="21.75" customHeight="1" x14ac:dyDescent="0.25">
      <c r="A40" s="679"/>
      <c r="B40" s="679"/>
      <c r="C40" s="679"/>
      <c r="D40" s="679"/>
      <c r="E40" s="116"/>
      <c r="F40" s="5"/>
      <c r="G40" s="680"/>
      <c r="H40" s="680"/>
      <c r="I40" s="680"/>
    </row>
    <row r="41" spans="1:9" ht="21.75" customHeight="1" x14ac:dyDescent="0.25">
      <c r="A41" s="682"/>
      <c r="B41" s="682"/>
      <c r="C41" s="682"/>
      <c r="D41" s="682"/>
      <c r="E41" s="117"/>
      <c r="F41" s="5"/>
      <c r="G41" s="681" t="s">
        <v>84</v>
      </c>
      <c r="H41" s="681"/>
      <c r="I41" s="109">
        <f>H32+I39</f>
        <v>0</v>
      </c>
    </row>
    <row r="42" spans="1:9" ht="21.75" customHeight="1" x14ac:dyDescent="0.25">
      <c r="A42" s="682"/>
      <c r="B42" s="682"/>
      <c r="C42" s="682"/>
      <c r="D42" s="682"/>
      <c r="E42" s="117"/>
      <c r="F42" s="5"/>
      <c r="G42" s="683" t="s">
        <v>85</v>
      </c>
      <c r="H42" s="683"/>
      <c r="I42" s="683"/>
    </row>
    <row r="43" spans="1:9" ht="21.75" customHeight="1" x14ac:dyDescent="0.25">
      <c r="A43" s="701"/>
      <c r="B43" s="701"/>
      <c r="C43" s="701"/>
      <c r="D43" s="701"/>
      <c r="E43" s="118"/>
      <c r="F43" s="5"/>
      <c r="G43" s="683"/>
      <c r="H43" s="683"/>
      <c r="I43" s="683"/>
    </row>
    <row r="44" spans="1:9" ht="21.75" customHeight="1" x14ac:dyDescent="0.25">
      <c r="A44" s="684"/>
      <c r="B44" s="685"/>
      <c r="C44" s="685"/>
      <c r="D44" s="686"/>
      <c r="E44" s="119" t="s">
        <v>10</v>
      </c>
      <c r="F44" s="5"/>
      <c r="G44" s="15" t="s">
        <v>87</v>
      </c>
      <c r="H44" s="7"/>
      <c r="I44" s="8"/>
    </row>
    <row r="45" spans="1:9" ht="21.75" customHeight="1" x14ac:dyDescent="0.25">
      <c r="A45" s="687"/>
      <c r="B45" s="688"/>
      <c r="C45" s="688"/>
      <c r="D45" s="689"/>
      <c r="E45" s="111"/>
      <c r="F45" s="5"/>
      <c r="G45" s="23"/>
      <c r="H45" s="14" t="s">
        <v>201</v>
      </c>
      <c r="I45" s="112"/>
    </row>
    <row r="46" spans="1:9" ht="21.75" customHeight="1" x14ac:dyDescent="0.25">
      <c r="A46" s="709"/>
      <c r="B46" s="710"/>
      <c r="C46" s="710"/>
      <c r="D46" s="711"/>
      <c r="E46" s="120"/>
      <c r="F46" s="5"/>
      <c r="G46" s="23"/>
      <c r="H46" s="14" t="s">
        <v>201</v>
      </c>
      <c r="I46" s="112"/>
    </row>
    <row r="47" spans="1:9" ht="21.75" customHeight="1" x14ac:dyDescent="0.25">
      <c r="A47" s="709"/>
      <c r="B47" s="710"/>
      <c r="C47" s="710"/>
      <c r="D47" s="711"/>
      <c r="E47" s="120"/>
      <c r="F47" s="5"/>
      <c r="G47" s="23"/>
      <c r="H47" s="14" t="s">
        <v>201</v>
      </c>
      <c r="I47" s="112"/>
    </row>
    <row r="48" spans="1:9" ht="21.75" customHeight="1" thickBot="1" x14ac:dyDescent="0.3">
      <c r="A48" s="712" t="s">
        <v>86</v>
      </c>
      <c r="B48" s="713"/>
      <c r="C48" s="713"/>
      <c r="D48" s="714"/>
      <c r="E48" s="115">
        <f>SUM(E39:E47)</f>
        <v>0</v>
      </c>
      <c r="F48" s="5"/>
      <c r="G48" s="23"/>
      <c r="H48" s="14" t="s">
        <v>201</v>
      </c>
      <c r="I48" s="112"/>
    </row>
    <row r="49" spans="1:9" ht="21.75" customHeight="1" thickTop="1" x14ac:dyDescent="0.25">
      <c r="A49" s="715" t="s">
        <v>88</v>
      </c>
      <c r="B49" s="716"/>
      <c r="C49" s="716"/>
      <c r="D49" s="717"/>
      <c r="E49" s="139">
        <f>E19+E35+E48</f>
        <v>0</v>
      </c>
      <c r="F49" s="5"/>
      <c r="G49" s="659" t="s">
        <v>89</v>
      </c>
      <c r="H49" s="659"/>
      <c r="I49" s="659"/>
    </row>
    <row r="50" spans="1:9" ht="21.75" customHeight="1" x14ac:dyDescent="0.25">
      <c r="A50" s="134"/>
      <c r="B50" s="133"/>
      <c r="C50" s="133"/>
      <c r="D50" s="133"/>
      <c r="E50" s="135"/>
      <c r="F50" s="5"/>
      <c r="G50" s="659"/>
      <c r="H50" s="659"/>
      <c r="I50" s="659"/>
    </row>
    <row r="51" spans="1:9" ht="21.75" customHeight="1" x14ac:dyDescent="0.25">
      <c r="A51" s="134"/>
      <c r="B51" s="133"/>
      <c r="C51" s="133"/>
      <c r="D51" s="133"/>
      <c r="E51" s="135"/>
      <c r="F51" s="5"/>
      <c r="G51" s="23"/>
      <c r="H51" s="14" t="s">
        <v>201</v>
      </c>
      <c r="I51" s="112"/>
    </row>
    <row r="52" spans="1:9" ht="21.75" customHeight="1" x14ac:dyDescent="0.25">
      <c r="A52" s="134"/>
      <c r="B52" s="133"/>
      <c r="C52" s="133"/>
      <c r="D52" s="133"/>
      <c r="E52" s="135"/>
      <c r="F52" s="5"/>
      <c r="G52" s="23"/>
      <c r="H52" s="14" t="s">
        <v>201</v>
      </c>
      <c r="I52" s="112"/>
    </row>
    <row r="53" spans="1:9" ht="21.75" customHeight="1" x14ac:dyDescent="0.25">
      <c r="A53" s="134"/>
      <c r="B53" s="133"/>
      <c r="C53" s="133"/>
      <c r="D53" s="133"/>
      <c r="E53" s="135"/>
      <c r="F53" s="5"/>
      <c r="G53" s="23"/>
      <c r="H53" s="14" t="s">
        <v>201</v>
      </c>
      <c r="I53" s="112"/>
    </row>
    <row r="54" spans="1:9" ht="21.75" customHeight="1" x14ac:dyDescent="0.25">
      <c r="A54" s="136" t="s">
        <v>10</v>
      </c>
      <c r="B54" s="137"/>
      <c r="C54" s="137"/>
      <c r="D54" s="137"/>
      <c r="E54" s="138"/>
      <c r="F54" s="5"/>
      <c r="G54" s="23"/>
      <c r="H54" s="14" t="s">
        <v>201</v>
      </c>
      <c r="I54" s="112"/>
    </row>
    <row r="55" spans="1:9" ht="21.75" customHeight="1" x14ac:dyDescent="0.25">
      <c r="A55" s="140" t="s">
        <v>90</v>
      </c>
      <c r="B55" s="141"/>
      <c r="C55" s="131"/>
      <c r="D55" s="132"/>
      <c r="E55" s="124">
        <f>I58</f>
        <v>0</v>
      </c>
      <c r="F55" s="5"/>
      <c r="G55" s="23"/>
      <c r="H55" s="14" t="s">
        <v>201</v>
      </c>
      <c r="I55" s="112"/>
    </row>
    <row r="56" spans="1:9" ht="21.75" customHeight="1" thickBot="1" x14ac:dyDescent="0.3">
      <c r="A56" s="127"/>
      <c r="B56" s="127"/>
      <c r="C56" s="127"/>
      <c r="D56" s="127"/>
      <c r="E56" s="127"/>
      <c r="F56" s="5"/>
      <c r="G56" s="23"/>
      <c r="H56" s="14" t="s">
        <v>201</v>
      </c>
      <c r="I56" s="113"/>
    </row>
    <row r="57" spans="1:9" ht="16.5" thickTop="1" x14ac:dyDescent="0.25">
      <c r="A57" s="126"/>
      <c r="B57" s="126"/>
      <c r="C57" s="126"/>
      <c r="D57" s="126"/>
      <c r="E57" s="126"/>
      <c r="F57" s="5"/>
      <c r="G57" s="681" t="s">
        <v>91</v>
      </c>
      <c r="H57" s="681"/>
      <c r="I57" s="108">
        <f>SUM(I45:I48)+SUM(I51:I56)</f>
        <v>0</v>
      </c>
    </row>
    <row r="58" spans="1:9" ht="29.25" customHeight="1" thickBot="1" x14ac:dyDescent="0.3">
      <c r="A58" s="128" t="s">
        <v>92</v>
      </c>
      <c r="B58" s="129"/>
      <c r="C58" s="129"/>
      <c r="D58" s="130"/>
      <c r="E58" s="125">
        <f>E49-E55</f>
        <v>0</v>
      </c>
      <c r="F58" s="5"/>
      <c r="G58" s="677" t="s">
        <v>93</v>
      </c>
      <c r="H58" s="678"/>
      <c r="I58" s="109">
        <f>I41+I57</f>
        <v>0</v>
      </c>
    </row>
    <row r="59" spans="1:9" ht="26.25" customHeight="1" thickTop="1" x14ac:dyDescent="0.25">
      <c r="A59" s="20"/>
      <c r="B59" s="20"/>
      <c r="C59" s="20"/>
      <c r="D59" s="20"/>
      <c r="E59" s="20"/>
      <c r="F59" s="5"/>
    </row>
    <row r="60" spans="1:9" x14ac:dyDescent="0.25">
      <c r="A60" s="82"/>
      <c r="B60" s="82"/>
      <c r="C60" s="82"/>
      <c r="D60" s="20"/>
      <c r="E60" s="16"/>
      <c r="F60" s="5"/>
      <c r="G60" s="5"/>
      <c r="H60" s="5"/>
      <c r="I60" s="5"/>
    </row>
    <row r="61" spans="1:9" x14ac:dyDescent="0.25">
      <c r="A61" s="79" t="s">
        <v>94</v>
      </c>
      <c r="B61" s="81"/>
      <c r="C61" s="81"/>
      <c r="D61" s="20"/>
      <c r="E61" s="6" t="s">
        <v>26</v>
      </c>
      <c r="F61" s="5"/>
      <c r="G61" s="5"/>
      <c r="H61" s="5"/>
      <c r="I61" s="5"/>
    </row>
    <row r="62" spans="1:9" x14ac:dyDescent="0.25">
      <c r="A62" s="79"/>
      <c r="B62" s="20"/>
      <c r="C62" s="20"/>
      <c r="D62" s="20"/>
      <c r="E62" s="17"/>
      <c r="F62" s="5"/>
      <c r="G62" s="5"/>
      <c r="H62" s="5"/>
      <c r="I62" s="5"/>
    </row>
    <row r="63" spans="1:9" x14ac:dyDescent="0.25">
      <c r="A63" s="80"/>
      <c r="B63" s="80"/>
      <c r="C63" s="80"/>
      <c r="D63" s="20"/>
      <c r="E63" s="16"/>
      <c r="F63" s="5"/>
      <c r="G63" s="5"/>
      <c r="H63" s="5"/>
      <c r="I63" s="5"/>
    </row>
    <row r="64" spans="1:9" x14ac:dyDescent="0.25">
      <c r="A64" s="11" t="s">
        <v>94</v>
      </c>
      <c r="B64" s="676"/>
      <c r="C64" s="676"/>
      <c r="D64" s="5"/>
      <c r="E64" s="6" t="s">
        <v>26</v>
      </c>
      <c r="F64" s="5"/>
      <c r="G64" s="5"/>
      <c r="H64" s="5"/>
      <c r="I64" s="5"/>
    </row>
    <row r="65" spans="6:9" x14ac:dyDescent="0.25">
      <c r="F65" s="5"/>
      <c r="G65" s="5"/>
      <c r="H65" s="5"/>
      <c r="I65" s="5"/>
    </row>
  </sheetData>
  <mergeCells count="63">
    <mergeCell ref="H28:I28"/>
    <mergeCell ref="A46:D46"/>
    <mergeCell ref="A47:D47"/>
    <mergeCell ref="A48:D48"/>
    <mergeCell ref="A49:D49"/>
    <mergeCell ref="H29:I29"/>
    <mergeCell ref="H30:I30"/>
    <mergeCell ref="H31:I31"/>
    <mergeCell ref="H32:I32"/>
    <mergeCell ref="H23:I23"/>
    <mergeCell ref="H24:I24"/>
    <mergeCell ref="H26:I26"/>
    <mergeCell ref="H27:I27"/>
    <mergeCell ref="H25:I25"/>
    <mergeCell ref="H18:I18"/>
    <mergeCell ref="H19:I19"/>
    <mergeCell ref="H20:I20"/>
    <mergeCell ref="H21:I21"/>
    <mergeCell ref="H22:I22"/>
    <mergeCell ref="A6:B6"/>
    <mergeCell ref="A43:D43"/>
    <mergeCell ref="G35:H35"/>
    <mergeCell ref="A38:D38"/>
    <mergeCell ref="G38:H38"/>
    <mergeCell ref="A39:D39"/>
    <mergeCell ref="G39:H39"/>
    <mergeCell ref="H9:I9"/>
    <mergeCell ref="H10:I10"/>
    <mergeCell ref="H11:I11"/>
    <mergeCell ref="H12:I12"/>
    <mergeCell ref="H13:I13"/>
    <mergeCell ref="H14:I14"/>
    <mergeCell ref="H15:I15"/>
    <mergeCell ref="H16:I16"/>
    <mergeCell ref="H17:I17"/>
    <mergeCell ref="A1:I1"/>
    <mergeCell ref="A2:I2"/>
    <mergeCell ref="B3:F3"/>
    <mergeCell ref="H3:I3"/>
    <mergeCell ref="A36:E37"/>
    <mergeCell ref="G36:H36"/>
    <mergeCell ref="G37:H37"/>
    <mergeCell ref="A9:E9"/>
    <mergeCell ref="B4:G4"/>
    <mergeCell ref="A7:I7"/>
    <mergeCell ref="A8:E8"/>
    <mergeCell ref="G8:I8"/>
    <mergeCell ref="A19:D19"/>
    <mergeCell ref="A20:E21"/>
    <mergeCell ref="G33:I34"/>
    <mergeCell ref="A35:D35"/>
    <mergeCell ref="B64:C64"/>
    <mergeCell ref="G58:H58"/>
    <mergeCell ref="A40:D40"/>
    <mergeCell ref="G40:I40"/>
    <mergeCell ref="G49:I50"/>
    <mergeCell ref="G57:H57"/>
    <mergeCell ref="A41:D41"/>
    <mergeCell ref="G41:H41"/>
    <mergeCell ref="A42:D42"/>
    <mergeCell ref="G42:I43"/>
    <mergeCell ref="A44:D44"/>
    <mergeCell ref="A45:D45"/>
  </mergeCells>
  <printOptions horizontalCentered="1" verticalCentered="1"/>
  <pageMargins left="0.2" right="0.2" top="0.75" bottom="0.75" header="0.3" footer="0.3"/>
  <pageSetup paperSize="5" scale="6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94"/>
  <sheetViews>
    <sheetView view="pageLayout" zoomScale="80" zoomScaleNormal="100" zoomScalePageLayoutView="80" workbookViewId="0">
      <selection activeCell="B5" sqref="B5:G5"/>
    </sheetView>
  </sheetViews>
  <sheetFormatPr defaultColWidth="0" defaultRowHeight="15" x14ac:dyDescent="0.25"/>
  <cols>
    <col min="1" max="1" width="12.5703125" customWidth="1"/>
    <col min="2" max="3" width="7.42578125" customWidth="1"/>
    <col min="4" max="4" width="7.85546875" customWidth="1"/>
    <col min="5" max="5" width="12.42578125" customWidth="1"/>
    <col min="6" max="17" width="12.140625" customWidth="1"/>
    <col min="18" max="18" width="14.140625" customWidth="1"/>
  </cols>
  <sheetData>
    <row r="1" spans="1:18" s="83" customFormat="1" x14ac:dyDescent="0.25">
      <c r="A1" s="769" t="s">
        <v>202</v>
      </c>
      <c r="B1" s="769"/>
      <c r="C1" s="769"/>
      <c r="D1" s="769"/>
      <c r="E1" s="769"/>
      <c r="F1" s="769"/>
      <c r="G1" s="769"/>
      <c r="H1" s="769"/>
      <c r="I1" s="769"/>
      <c r="J1" s="769"/>
      <c r="K1" s="769"/>
      <c r="L1" s="769"/>
      <c r="M1" s="769"/>
      <c r="N1" s="769"/>
      <c r="O1" s="769"/>
      <c r="P1" s="769"/>
      <c r="Q1" s="769"/>
      <c r="R1" s="769"/>
    </row>
    <row r="2" spans="1:18" s="83" customFormat="1" x14ac:dyDescent="0.25">
      <c r="A2" s="769" t="s">
        <v>95</v>
      </c>
      <c r="B2" s="769"/>
      <c r="C2" s="769"/>
      <c r="D2" s="769"/>
      <c r="E2" s="769"/>
      <c r="F2" s="769"/>
      <c r="G2" s="769"/>
      <c r="H2" s="769"/>
      <c r="I2" s="769"/>
      <c r="J2" s="769"/>
      <c r="K2" s="769"/>
      <c r="L2" s="769"/>
      <c r="M2" s="769"/>
      <c r="N2" s="769"/>
      <c r="O2" s="769"/>
      <c r="P2" s="769"/>
      <c r="Q2" s="769"/>
      <c r="R2" s="769"/>
    </row>
    <row r="3" spans="1:18" s="83" customFormat="1" x14ac:dyDescent="0.25">
      <c r="A3" s="770" t="s">
        <v>96</v>
      </c>
      <c r="B3" s="770"/>
      <c r="C3" s="770"/>
      <c r="D3" s="770"/>
      <c r="E3" s="770"/>
      <c r="F3" s="770"/>
      <c r="G3" s="770"/>
      <c r="H3" s="770"/>
      <c r="I3" s="770"/>
      <c r="J3" s="770"/>
      <c r="K3" s="770"/>
      <c r="L3" s="770"/>
      <c r="M3" s="770"/>
      <c r="N3" s="770"/>
      <c r="O3" s="770"/>
      <c r="P3" s="770"/>
      <c r="Q3" s="770"/>
      <c r="R3" s="770"/>
    </row>
    <row r="4" spans="1:18" s="83" customFormat="1" x14ac:dyDescent="0.25">
      <c r="A4" s="89"/>
      <c r="B4" s="89"/>
      <c r="C4" s="89"/>
      <c r="D4" s="89"/>
      <c r="E4" s="89"/>
      <c r="F4" s="89"/>
      <c r="G4" s="89"/>
      <c r="H4" s="89"/>
      <c r="I4" s="89"/>
      <c r="J4" s="89"/>
      <c r="K4" s="89"/>
      <c r="L4" s="89"/>
      <c r="M4" s="89"/>
      <c r="N4" s="89"/>
      <c r="O4" s="89"/>
      <c r="P4" s="89"/>
      <c r="Q4" s="89"/>
      <c r="R4" s="89"/>
    </row>
    <row r="5" spans="1:18" s="83" customFormat="1" ht="18" customHeight="1" x14ac:dyDescent="0.25">
      <c r="A5" s="84" t="s">
        <v>97</v>
      </c>
      <c r="B5" s="772">
        <f>'Balance Sheet'!B7:D7</f>
        <v>0</v>
      </c>
      <c r="C5" s="772"/>
      <c r="D5" s="772"/>
      <c r="E5" s="772"/>
      <c r="F5" s="772"/>
      <c r="G5" s="772"/>
      <c r="H5" s="461"/>
      <c r="I5" s="461"/>
      <c r="J5" s="462" t="s">
        <v>216</v>
      </c>
      <c r="K5" s="461"/>
      <c r="L5" s="773"/>
      <c r="M5" s="773"/>
      <c r="N5" s="773"/>
      <c r="O5" s="773"/>
      <c r="P5" s="97"/>
      <c r="Q5" s="97"/>
      <c r="R5" s="97"/>
    </row>
    <row r="6" spans="1:18" s="83" customFormat="1" ht="29.25" customHeight="1" x14ac:dyDescent="0.25">
      <c r="A6" s="771"/>
      <c r="B6" s="771"/>
      <c r="C6" s="771"/>
      <c r="D6" s="771"/>
      <c r="E6" s="771"/>
      <c r="F6" s="771"/>
      <c r="G6" s="771"/>
      <c r="H6" s="771"/>
      <c r="I6" s="771"/>
      <c r="J6" s="771"/>
      <c r="K6" s="771"/>
      <c r="L6" s="771"/>
      <c r="M6" s="771"/>
      <c r="N6" s="771"/>
      <c r="O6" s="771"/>
      <c r="P6" s="771"/>
      <c r="Q6" s="771"/>
      <c r="R6" s="771"/>
    </row>
    <row r="7" spans="1:18" s="83" customFormat="1" x14ac:dyDescent="0.25">
      <c r="A7" s="774" t="s">
        <v>98</v>
      </c>
      <c r="B7" s="774"/>
      <c r="C7" s="774"/>
      <c r="D7" s="774"/>
      <c r="E7" s="775"/>
      <c r="F7" s="476" t="s">
        <v>259</v>
      </c>
      <c r="G7" s="476" t="s">
        <v>260</v>
      </c>
      <c r="H7" s="476" t="s">
        <v>261</v>
      </c>
      <c r="I7" s="476" t="s">
        <v>262</v>
      </c>
      <c r="J7" s="476" t="s">
        <v>263</v>
      </c>
      <c r="K7" s="476" t="s">
        <v>264</v>
      </c>
      <c r="L7" s="476" t="s">
        <v>265</v>
      </c>
      <c r="M7" s="476" t="s">
        <v>266</v>
      </c>
      <c r="N7" s="476" t="s">
        <v>267</v>
      </c>
      <c r="O7" s="476" t="s">
        <v>268</v>
      </c>
      <c r="P7" s="476" t="s">
        <v>269</v>
      </c>
      <c r="Q7" s="477" t="s">
        <v>270</v>
      </c>
      <c r="R7" s="478" t="s">
        <v>46</v>
      </c>
    </row>
    <row r="8" spans="1:18" s="83" customFormat="1" ht="22.5" customHeight="1" x14ac:dyDescent="0.25">
      <c r="A8" s="103" t="s">
        <v>215</v>
      </c>
      <c r="B8" s="103"/>
      <c r="C8" s="103"/>
      <c r="D8" s="103"/>
      <c r="E8" s="103"/>
      <c r="F8" s="90"/>
      <c r="G8" s="90"/>
      <c r="H8" s="90"/>
      <c r="I8" s="90"/>
      <c r="J8" s="90"/>
      <c r="K8" s="90"/>
      <c r="L8" s="90"/>
      <c r="M8" s="90"/>
      <c r="N8" s="90"/>
      <c r="O8" s="90"/>
      <c r="P8" s="90"/>
      <c r="Q8" s="91"/>
      <c r="R8" s="534" t="s">
        <v>10</v>
      </c>
    </row>
    <row r="9" spans="1:18" s="83" customFormat="1" ht="22.5" customHeight="1" x14ac:dyDescent="0.25">
      <c r="A9" s="464" t="s">
        <v>257</v>
      </c>
      <c r="B9" s="463" t="s">
        <v>54</v>
      </c>
      <c r="C9" s="463" t="s">
        <v>136</v>
      </c>
      <c r="D9" s="463" t="s">
        <v>56</v>
      </c>
      <c r="E9" s="464" t="s">
        <v>40</v>
      </c>
      <c r="F9" s="90"/>
      <c r="G9" s="90"/>
      <c r="H9" s="90"/>
      <c r="I9" s="90"/>
      <c r="J9" s="90"/>
      <c r="K9" s="90"/>
      <c r="L9" s="90"/>
      <c r="M9" s="90"/>
      <c r="N9" s="90"/>
      <c r="O9" s="90"/>
      <c r="P9" s="90" t="s">
        <v>99</v>
      </c>
      <c r="Q9" s="91"/>
      <c r="R9" s="535"/>
    </row>
    <row r="10" spans="1:18" s="83" customFormat="1" ht="26.25" customHeight="1" x14ac:dyDescent="0.25">
      <c r="A10" s="465"/>
      <c r="B10" s="473">
        <v>0</v>
      </c>
      <c r="C10" s="473">
        <v>0</v>
      </c>
      <c r="D10" s="470">
        <v>0</v>
      </c>
      <c r="E10" s="468">
        <f>(B10*C10)*D10</f>
        <v>0</v>
      </c>
      <c r="F10" s="479"/>
      <c r="G10" s="479"/>
      <c r="H10" s="479"/>
      <c r="I10" s="479"/>
      <c r="J10" s="479"/>
      <c r="K10" s="479"/>
      <c r="L10" s="479"/>
      <c r="M10" s="479"/>
      <c r="N10" s="479"/>
      <c r="O10" s="479"/>
      <c r="P10" s="479"/>
      <c r="Q10" s="480"/>
      <c r="R10" s="535">
        <f>SUM(F10:Q10)</f>
        <v>0</v>
      </c>
    </row>
    <row r="11" spans="1:18" s="83" customFormat="1" ht="26.25" customHeight="1" x14ac:dyDescent="0.25">
      <c r="A11" s="465"/>
      <c r="B11" s="473"/>
      <c r="C11" s="473"/>
      <c r="D11" s="470"/>
      <c r="E11" s="468">
        <f t="shared" ref="E11:E14" si="0">(B11*C11)*D11</f>
        <v>0</v>
      </c>
      <c r="F11" s="479"/>
      <c r="G11" s="479"/>
      <c r="H11" s="479"/>
      <c r="I11" s="479"/>
      <c r="J11" s="479"/>
      <c r="K11" s="479"/>
      <c r="L11" s="479"/>
      <c r="M11" s="479"/>
      <c r="N11" s="479"/>
      <c r="O11" s="479"/>
      <c r="P11" s="479"/>
      <c r="Q11" s="480"/>
      <c r="R11" s="535">
        <f t="shared" ref="R11:R21" si="1">SUM(F11:Q11)</f>
        <v>0</v>
      </c>
    </row>
    <row r="12" spans="1:18" s="83" customFormat="1" ht="26.25" customHeight="1" x14ac:dyDescent="0.25">
      <c r="A12" s="465"/>
      <c r="B12" s="473"/>
      <c r="C12" s="473"/>
      <c r="D12" s="470"/>
      <c r="E12" s="468">
        <f t="shared" si="0"/>
        <v>0</v>
      </c>
      <c r="F12" s="479"/>
      <c r="G12" s="479"/>
      <c r="H12" s="479"/>
      <c r="I12" s="479"/>
      <c r="J12" s="479"/>
      <c r="K12" s="479"/>
      <c r="L12" s="479"/>
      <c r="M12" s="479"/>
      <c r="N12" s="479"/>
      <c r="O12" s="479"/>
      <c r="P12" s="479" t="s">
        <v>99</v>
      </c>
      <c r="Q12" s="480"/>
      <c r="R12" s="535">
        <f t="shared" si="1"/>
        <v>0</v>
      </c>
    </row>
    <row r="13" spans="1:18" s="83" customFormat="1" ht="26.25" customHeight="1" x14ac:dyDescent="0.25">
      <c r="A13" s="465"/>
      <c r="B13" s="473"/>
      <c r="C13" s="473"/>
      <c r="D13" s="470"/>
      <c r="E13" s="468">
        <f t="shared" si="0"/>
        <v>0</v>
      </c>
      <c r="F13" s="479"/>
      <c r="G13" s="479"/>
      <c r="H13" s="479"/>
      <c r="I13" s="479"/>
      <c r="J13" s="479"/>
      <c r="K13" s="479"/>
      <c r="L13" s="479"/>
      <c r="M13" s="479"/>
      <c r="N13" s="479"/>
      <c r="O13" s="479"/>
      <c r="P13" s="479"/>
      <c r="Q13" s="480"/>
      <c r="R13" s="535">
        <f t="shared" si="1"/>
        <v>0</v>
      </c>
    </row>
    <row r="14" spans="1:18" s="83" customFormat="1" ht="26.25" customHeight="1" x14ac:dyDescent="0.25">
      <c r="A14" s="465"/>
      <c r="B14" s="473"/>
      <c r="C14" s="473"/>
      <c r="D14" s="470"/>
      <c r="E14" s="468">
        <f t="shared" si="0"/>
        <v>0</v>
      </c>
      <c r="F14" s="479"/>
      <c r="G14" s="479"/>
      <c r="H14" s="479"/>
      <c r="I14" s="479"/>
      <c r="J14" s="479"/>
      <c r="K14" s="479"/>
      <c r="L14" s="479"/>
      <c r="M14" s="479"/>
      <c r="N14" s="479"/>
      <c r="O14" s="479"/>
      <c r="P14" s="479"/>
      <c r="Q14" s="480"/>
      <c r="R14" s="535">
        <f t="shared" si="1"/>
        <v>0</v>
      </c>
    </row>
    <row r="15" spans="1:18" s="83" customFormat="1" ht="22.5" customHeight="1" x14ac:dyDescent="0.25">
      <c r="A15" s="464" t="s">
        <v>140</v>
      </c>
      <c r="B15" s="463" t="s">
        <v>213</v>
      </c>
      <c r="C15" s="463" t="s">
        <v>214</v>
      </c>
      <c r="D15" s="463" t="s">
        <v>56</v>
      </c>
      <c r="E15" s="468"/>
      <c r="F15" s="479"/>
      <c r="G15" s="479"/>
      <c r="H15" s="479"/>
      <c r="I15" s="479"/>
      <c r="J15" s="479"/>
      <c r="K15" s="479"/>
      <c r="L15" s="479"/>
      <c r="M15" s="479"/>
      <c r="N15" s="479"/>
      <c r="O15" s="479"/>
      <c r="P15" s="479"/>
      <c r="Q15" s="480"/>
      <c r="R15" s="535"/>
    </row>
    <row r="16" spans="1:18" s="83" customFormat="1" ht="27" customHeight="1" x14ac:dyDescent="0.25">
      <c r="A16" s="465"/>
      <c r="B16" s="473">
        <v>0</v>
      </c>
      <c r="C16" s="473">
        <v>0</v>
      </c>
      <c r="D16" s="470">
        <v>0</v>
      </c>
      <c r="E16" s="468">
        <f>(D16*C16)*B16</f>
        <v>0</v>
      </c>
      <c r="F16" s="479"/>
      <c r="G16" s="479"/>
      <c r="H16" s="479"/>
      <c r="I16" s="479"/>
      <c r="J16" s="479"/>
      <c r="K16" s="479"/>
      <c r="L16" s="479"/>
      <c r="M16" s="479"/>
      <c r="N16" s="479" t="s">
        <v>99</v>
      </c>
      <c r="O16" s="479"/>
      <c r="P16" s="479" t="s">
        <v>99</v>
      </c>
      <c r="Q16" s="480"/>
      <c r="R16" s="535">
        <f t="shared" si="1"/>
        <v>0</v>
      </c>
    </row>
    <row r="17" spans="1:18" s="83" customFormat="1" ht="27" customHeight="1" x14ac:dyDescent="0.25">
      <c r="A17" s="465"/>
      <c r="B17" s="473">
        <v>0</v>
      </c>
      <c r="C17" s="473">
        <v>0</v>
      </c>
      <c r="D17" s="470">
        <v>0</v>
      </c>
      <c r="E17" s="468">
        <f t="shared" ref="E17:E21" si="2">(D17*C17)*B17</f>
        <v>0</v>
      </c>
      <c r="F17" s="479"/>
      <c r="G17" s="479"/>
      <c r="H17" s="479"/>
      <c r="I17" s="479"/>
      <c r="J17" s="479"/>
      <c r="K17" s="479"/>
      <c r="L17" s="479"/>
      <c r="M17" s="479"/>
      <c r="N17" s="479"/>
      <c r="O17" s="479"/>
      <c r="P17" s="479"/>
      <c r="Q17" s="480"/>
      <c r="R17" s="535">
        <f t="shared" si="1"/>
        <v>0</v>
      </c>
    </row>
    <row r="18" spans="1:18" s="83" customFormat="1" ht="27" customHeight="1" x14ac:dyDescent="0.25">
      <c r="A18" s="465"/>
      <c r="B18" s="473"/>
      <c r="C18" s="473"/>
      <c r="D18" s="470"/>
      <c r="E18" s="468">
        <f t="shared" si="2"/>
        <v>0</v>
      </c>
      <c r="F18" s="479"/>
      <c r="G18" s="479"/>
      <c r="H18" s="479"/>
      <c r="I18" s="479"/>
      <c r="J18" s="479"/>
      <c r="K18" s="479"/>
      <c r="L18" s="479"/>
      <c r="M18" s="479"/>
      <c r="N18" s="479"/>
      <c r="O18" s="479"/>
      <c r="P18" s="479"/>
      <c r="Q18" s="480"/>
      <c r="R18" s="535">
        <f t="shared" si="1"/>
        <v>0</v>
      </c>
    </row>
    <row r="19" spans="1:18" s="83" customFormat="1" ht="27" customHeight="1" x14ac:dyDescent="0.25">
      <c r="A19" s="465"/>
      <c r="B19" s="473"/>
      <c r="C19" s="473"/>
      <c r="D19" s="470"/>
      <c r="E19" s="468">
        <f t="shared" si="2"/>
        <v>0</v>
      </c>
      <c r="F19" s="479"/>
      <c r="G19" s="479"/>
      <c r="H19" s="479"/>
      <c r="I19" s="479"/>
      <c r="J19" s="479"/>
      <c r="K19" s="479"/>
      <c r="L19" s="479"/>
      <c r="M19" s="479"/>
      <c r="N19" s="479" t="s">
        <v>99</v>
      </c>
      <c r="O19" s="479"/>
      <c r="P19" s="479" t="s">
        <v>99</v>
      </c>
      <c r="Q19" s="480"/>
      <c r="R19" s="535">
        <f t="shared" si="1"/>
        <v>0</v>
      </c>
    </row>
    <row r="20" spans="1:18" s="83" customFormat="1" ht="27" customHeight="1" x14ac:dyDescent="0.25">
      <c r="A20" s="466"/>
      <c r="B20" s="474"/>
      <c r="C20" s="474"/>
      <c r="D20" s="471"/>
      <c r="E20" s="469">
        <f t="shared" si="2"/>
        <v>0</v>
      </c>
      <c r="F20" s="481"/>
      <c r="G20" s="481"/>
      <c r="H20" s="481"/>
      <c r="I20" s="481"/>
      <c r="J20" s="481"/>
      <c r="K20" s="481"/>
      <c r="L20" s="481"/>
      <c r="M20" s="481"/>
      <c r="N20" s="481"/>
      <c r="O20" s="481"/>
      <c r="P20" s="481"/>
      <c r="Q20" s="482"/>
      <c r="R20" s="535">
        <f t="shared" si="1"/>
        <v>0</v>
      </c>
    </row>
    <row r="21" spans="1:18" s="83" customFormat="1" ht="27" customHeight="1" thickBot="1" x14ac:dyDescent="0.3">
      <c r="A21" s="467"/>
      <c r="B21" s="475"/>
      <c r="C21" s="475"/>
      <c r="D21" s="472"/>
      <c r="E21" s="485">
        <f t="shared" si="2"/>
        <v>0</v>
      </c>
      <c r="F21" s="486"/>
      <c r="G21" s="486"/>
      <c r="H21" s="486"/>
      <c r="I21" s="486"/>
      <c r="J21" s="486"/>
      <c r="K21" s="486"/>
      <c r="L21" s="486"/>
      <c r="M21" s="486"/>
      <c r="N21" s="486"/>
      <c r="O21" s="486"/>
      <c r="P21" s="486"/>
      <c r="Q21" s="487"/>
      <c r="R21" s="536">
        <f t="shared" si="1"/>
        <v>0</v>
      </c>
    </row>
    <row r="22" spans="1:18" s="83" customFormat="1" ht="22.5" customHeight="1" thickTop="1" x14ac:dyDescent="0.25">
      <c r="A22" s="755" t="s">
        <v>100</v>
      </c>
      <c r="B22" s="756"/>
      <c r="C22" s="756"/>
      <c r="D22" s="757"/>
      <c r="E22" s="484">
        <f>SUM(E10:E21)</f>
        <v>0</v>
      </c>
      <c r="F22" s="488">
        <f>SUM(F10:F21)</f>
        <v>0</v>
      </c>
      <c r="G22" s="488">
        <f t="shared" ref="G22:R22" si="3">SUM(G10:G21)</f>
        <v>0</v>
      </c>
      <c r="H22" s="488">
        <f t="shared" si="3"/>
        <v>0</v>
      </c>
      <c r="I22" s="488">
        <f t="shared" si="3"/>
        <v>0</v>
      </c>
      <c r="J22" s="488">
        <f t="shared" si="3"/>
        <v>0</v>
      </c>
      <c r="K22" s="488">
        <f t="shared" si="3"/>
        <v>0</v>
      </c>
      <c r="L22" s="488">
        <f t="shared" si="3"/>
        <v>0</v>
      </c>
      <c r="M22" s="488">
        <f t="shared" si="3"/>
        <v>0</v>
      </c>
      <c r="N22" s="488">
        <f t="shared" si="3"/>
        <v>0</v>
      </c>
      <c r="O22" s="488">
        <f t="shared" si="3"/>
        <v>0</v>
      </c>
      <c r="P22" s="488">
        <f t="shared" si="3"/>
        <v>0</v>
      </c>
      <c r="Q22" s="489">
        <f t="shared" si="3"/>
        <v>0</v>
      </c>
      <c r="R22" s="537">
        <f t="shared" si="3"/>
        <v>0</v>
      </c>
    </row>
    <row r="23" spans="1:18" s="83" customFormat="1" ht="22.5" customHeight="1" x14ac:dyDescent="0.25">
      <c r="A23" s="758" t="s">
        <v>215</v>
      </c>
      <c r="B23" s="758"/>
      <c r="C23" s="758"/>
      <c r="D23" s="758"/>
      <c r="E23" s="460" t="s">
        <v>40</v>
      </c>
      <c r="F23" s="755" t="s">
        <v>258</v>
      </c>
      <c r="G23" s="765"/>
      <c r="H23" s="765"/>
      <c r="I23" s="765"/>
      <c r="J23" s="765"/>
      <c r="K23" s="765"/>
      <c r="L23" s="765"/>
      <c r="M23" s="765"/>
      <c r="N23" s="765"/>
      <c r="O23" s="765"/>
      <c r="P23" s="765"/>
      <c r="Q23" s="765"/>
      <c r="R23" s="757"/>
    </row>
    <row r="24" spans="1:18" s="83" customFormat="1" ht="27.75" customHeight="1" x14ac:dyDescent="0.25">
      <c r="A24" s="776"/>
      <c r="B24" s="777"/>
      <c r="C24" s="777"/>
      <c r="D24" s="778"/>
      <c r="E24" s="490">
        <v>0</v>
      </c>
      <c r="F24" s="492"/>
      <c r="G24" s="492"/>
      <c r="H24" s="492"/>
      <c r="I24" s="492"/>
      <c r="J24" s="492"/>
      <c r="K24" s="492"/>
      <c r="L24" s="492"/>
      <c r="M24" s="492"/>
      <c r="N24" s="492"/>
      <c r="O24" s="492"/>
      <c r="P24" s="492"/>
      <c r="Q24" s="493"/>
      <c r="R24" s="535">
        <f>SUM(F24:Q24)</f>
        <v>0</v>
      </c>
    </row>
    <row r="25" spans="1:18" s="83" customFormat="1" ht="27.75" customHeight="1" x14ac:dyDescent="0.25">
      <c r="A25" s="779"/>
      <c r="B25" s="780"/>
      <c r="C25" s="780"/>
      <c r="D25" s="781"/>
      <c r="E25" s="491"/>
      <c r="F25" s="479" t="s">
        <v>99</v>
      </c>
      <c r="G25" s="479" t="s">
        <v>99</v>
      </c>
      <c r="H25" s="479" t="s">
        <v>99</v>
      </c>
      <c r="I25" s="479"/>
      <c r="J25" s="479" t="s">
        <v>99</v>
      </c>
      <c r="K25" s="479"/>
      <c r="L25" s="479" t="s">
        <v>99</v>
      </c>
      <c r="M25" s="479"/>
      <c r="N25" s="479" t="s">
        <v>99</v>
      </c>
      <c r="O25" s="479" t="s">
        <v>99</v>
      </c>
      <c r="P25" s="479" t="s">
        <v>101</v>
      </c>
      <c r="Q25" s="480" t="s">
        <v>99</v>
      </c>
      <c r="R25" s="535">
        <f t="shared" ref="R25:R26" si="4">SUM(F25:Q25)</f>
        <v>0</v>
      </c>
    </row>
    <row r="26" spans="1:18" s="83" customFormat="1" ht="27.75" customHeight="1" x14ac:dyDescent="0.25">
      <c r="A26" s="782"/>
      <c r="B26" s="783"/>
      <c r="C26" s="783"/>
      <c r="D26" s="784"/>
      <c r="E26" s="491"/>
      <c r="F26" s="479"/>
      <c r="G26" s="479"/>
      <c r="H26" s="479"/>
      <c r="I26" s="479"/>
      <c r="J26" s="479"/>
      <c r="K26" s="479"/>
      <c r="L26" s="479"/>
      <c r="M26" s="479"/>
      <c r="N26" s="479"/>
      <c r="O26" s="479"/>
      <c r="P26" s="479"/>
      <c r="Q26" s="480"/>
      <c r="R26" s="535">
        <f t="shared" si="4"/>
        <v>0</v>
      </c>
    </row>
    <row r="27" spans="1:18" s="83" customFormat="1" ht="15.75" thickBot="1" x14ac:dyDescent="0.3">
      <c r="A27" s="785" t="s">
        <v>102</v>
      </c>
      <c r="B27" s="785"/>
      <c r="C27" s="785"/>
      <c r="D27" s="785"/>
      <c r="E27" s="495">
        <f>SUM(E24:E26)</f>
        <v>0</v>
      </c>
      <c r="F27" s="531">
        <f>SUM(F24:F26)</f>
        <v>0</v>
      </c>
      <c r="G27" s="531">
        <f t="shared" ref="G27:Q27" si="5">SUM(G24:G26)</f>
        <v>0</v>
      </c>
      <c r="H27" s="531">
        <f t="shared" si="5"/>
        <v>0</v>
      </c>
      <c r="I27" s="531">
        <f t="shared" si="5"/>
        <v>0</v>
      </c>
      <c r="J27" s="531">
        <f t="shared" si="5"/>
        <v>0</v>
      </c>
      <c r="K27" s="531">
        <f t="shared" si="5"/>
        <v>0</v>
      </c>
      <c r="L27" s="531">
        <f t="shared" si="5"/>
        <v>0</v>
      </c>
      <c r="M27" s="531">
        <f t="shared" si="5"/>
        <v>0</v>
      </c>
      <c r="N27" s="531">
        <f t="shared" si="5"/>
        <v>0</v>
      </c>
      <c r="O27" s="531">
        <f t="shared" si="5"/>
        <v>0</v>
      </c>
      <c r="P27" s="531">
        <f t="shared" si="5"/>
        <v>0</v>
      </c>
      <c r="Q27" s="532">
        <f t="shared" si="5"/>
        <v>0</v>
      </c>
      <c r="R27" s="536">
        <f>SUM(R24:R26)</f>
        <v>0</v>
      </c>
    </row>
    <row r="28" spans="1:18" s="83" customFormat="1" ht="21.75" customHeight="1" thickTop="1" x14ac:dyDescent="0.25">
      <c r="A28" s="786" t="s">
        <v>218</v>
      </c>
      <c r="B28" s="786"/>
      <c r="C28" s="786"/>
      <c r="D28" s="786"/>
      <c r="E28" s="496">
        <f>E22+E27</f>
        <v>0</v>
      </c>
      <c r="F28" s="509">
        <f>F22+F27</f>
        <v>0</v>
      </c>
      <c r="G28" s="509">
        <f t="shared" ref="G28:Q28" si="6">G22+G27</f>
        <v>0</v>
      </c>
      <c r="H28" s="509">
        <f t="shared" si="6"/>
        <v>0</v>
      </c>
      <c r="I28" s="509">
        <f t="shared" si="6"/>
        <v>0</v>
      </c>
      <c r="J28" s="509">
        <f t="shared" si="6"/>
        <v>0</v>
      </c>
      <c r="K28" s="509">
        <f t="shared" si="6"/>
        <v>0</v>
      </c>
      <c r="L28" s="509">
        <f t="shared" si="6"/>
        <v>0</v>
      </c>
      <c r="M28" s="509">
        <f t="shared" si="6"/>
        <v>0</v>
      </c>
      <c r="N28" s="509">
        <f t="shared" si="6"/>
        <v>0</v>
      </c>
      <c r="O28" s="509">
        <f t="shared" si="6"/>
        <v>0</v>
      </c>
      <c r="P28" s="509">
        <f t="shared" si="6"/>
        <v>0</v>
      </c>
      <c r="Q28" s="509">
        <f t="shared" si="6"/>
        <v>0</v>
      </c>
      <c r="R28" s="538">
        <f>R22+R27</f>
        <v>0</v>
      </c>
    </row>
    <row r="29" spans="1:18" s="83" customFormat="1" x14ac:dyDescent="0.25">
      <c r="A29" s="92"/>
      <c r="B29" s="92"/>
      <c r="C29" s="92"/>
      <c r="D29" s="92"/>
      <c r="E29" s="92"/>
      <c r="F29" s="93"/>
      <c r="G29" s="93"/>
      <c r="H29" s="93"/>
      <c r="I29" s="93"/>
      <c r="J29" s="93"/>
      <c r="K29" s="93"/>
      <c r="L29" s="93"/>
      <c r="M29" s="93"/>
      <c r="N29" s="93"/>
      <c r="O29" s="93"/>
      <c r="P29" s="93"/>
      <c r="Q29" s="93"/>
      <c r="R29" s="94"/>
    </row>
    <row r="30" spans="1:18" s="83" customFormat="1" x14ac:dyDescent="0.25">
      <c r="A30" s="92"/>
      <c r="B30" s="92"/>
      <c r="C30" s="92"/>
      <c r="D30" s="92"/>
      <c r="E30" s="92"/>
      <c r="F30" s="93"/>
      <c r="G30" s="93"/>
      <c r="H30" s="93"/>
      <c r="I30" s="93"/>
      <c r="J30" s="93"/>
      <c r="K30" s="93"/>
      <c r="L30" s="93"/>
      <c r="M30" s="93"/>
      <c r="N30" s="93"/>
      <c r="O30" s="93"/>
      <c r="P30" s="93"/>
      <c r="Q30" s="93"/>
      <c r="R30" s="94"/>
    </row>
    <row r="31" spans="1:18" s="83" customFormat="1" x14ac:dyDescent="0.25">
      <c r="A31" s="762" t="s">
        <v>103</v>
      </c>
      <c r="B31" s="763"/>
      <c r="C31" s="763"/>
      <c r="D31" s="763"/>
      <c r="E31" s="763"/>
      <c r="F31" s="763"/>
      <c r="G31" s="763"/>
      <c r="H31" s="763"/>
      <c r="I31" s="763"/>
      <c r="J31" s="763"/>
      <c r="K31" s="763"/>
      <c r="L31" s="763"/>
      <c r="M31" s="763"/>
      <c r="N31" s="763"/>
      <c r="O31" s="763"/>
      <c r="P31" s="763"/>
      <c r="Q31" s="763"/>
      <c r="R31" s="764"/>
    </row>
    <row r="32" spans="1:18" s="83" customFormat="1" x14ac:dyDescent="0.25">
      <c r="A32" s="759" t="s">
        <v>98</v>
      </c>
      <c r="B32" s="760"/>
      <c r="C32" s="760"/>
      <c r="D32" s="760"/>
      <c r="E32" s="761"/>
      <c r="F32" s="101" t="s">
        <v>259</v>
      </c>
      <c r="G32" s="101" t="s">
        <v>260</v>
      </c>
      <c r="H32" s="101" t="s">
        <v>261</v>
      </c>
      <c r="I32" s="101" t="s">
        <v>262</v>
      </c>
      <c r="J32" s="101" t="s">
        <v>263</v>
      </c>
      <c r="K32" s="101" t="s">
        <v>264</v>
      </c>
      <c r="L32" s="101" t="s">
        <v>265</v>
      </c>
      <c r="M32" s="101" t="s">
        <v>266</v>
      </c>
      <c r="N32" s="101" t="s">
        <v>267</v>
      </c>
      <c r="O32" s="101" t="s">
        <v>268</v>
      </c>
      <c r="P32" s="101" t="s">
        <v>269</v>
      </c>
      <c r="Q32" s="100" t="s">
        <v>270</v>
      </c>
      <c r="R32" s="99" t="s">
        <v>46</v>
      </c>
    </row>
    <row r="33" spans="1:18" s="83" customFormat="1" ht="25.5" customHeight="1" x14ac:dyDescent="0.25">
      <c r="A33" s="725" t="s">
        <v>72</v>
      </c>
      <c r="B33" s="726"/>
      <c r="C33" s="726"/>
      <c r="D33" s="726"/>
      <c r="E33" s="727"/>
      <c r="F33" s="483"/>
      <c r="G33" s="483"/>
      <c r="H33" s="483"/>
      <c r="I33" s="483"/>
      <c r="J33" s="483"/>
      <c r="K33" s="483"/>
      <c r="L33" s="483"/>
      <c r="M33" s="483"/>
      <c r="N33" s="483"/>
      <c r="O33" s="483"/>
      <c r="P33" s="483"/>
      <c r="Q33" s="483"/>
      <c r="R33" s="540">
        <f>SUM(F33:Q33)</f>
        <v>0</v>
      </c>
    </row>
    <row r="34" spans="1:18" s="83" customFormat="1" ht="25.5" customHeight="1" x14ac:dyDescent="0.25">
      <c r="A34" s="725" t="s">
        <v>104</v>
      </c>
      <c r="B34" s="726"/>
      <c r="C34" s="726"/>
      <c r="D34" s="726"/>
      <c r="E34" s="727"/>
      <c r="F34" s="483"/>
      <c r="G34" s="483"/>
      <c r="H34" s="483"/>
      <c r="I34" s="483"/>
      <c r="J34" s="483"/>
      <c r="K34" s="483"/>
      <c r="L34" s="483"/>
      <c r="M34" s="483"/>
      <c r="N34" s="483"/>
      <c r="O34" s="483"/>
      <c r="P34" s="499"/>
      <c r="Q34" s="498"/>
      <c r="R34" s="540">
        <f t="shared" ref="R34:R63" si="7">SUM(F34:Q34)</f>
        <v>0</v>
      </c>
    </row>
    <row r="35" spans="1:18" s="83" customFormat="1" ht="25.5" customHeight="1" x14ac:dyDescent="0.25">
      <c r="A35" s="725" t="s">
        <v>107</v>
      </c>
      <c r="B35" s="726"/>
      <c r="C35" s="726"/>
      <c r="D35" s="726"/>
      <c r="E35" s="727"/>
      <c r="F35" s="483"/>
      <c r="G35" s="483"/>
      <c r="H35" s="483"/>
      <c r="I35" s="483"/>
      <c r="J35" s="483"/>
      <c r="K35" s="483"/>
      <c r="L35" s="483"/>
      <c r="M35" s="483"/>
      <c r="N35" s="483"/>
      <c r="O35" s="483"/>
      <c r="P35" s="499"/>
      <c r="Q35" s="498"/>
      <c r="R35" s="540">
        <f t="shared" si="7"/>
        <v>0</v>
      </c>
    </row>
    <row r="36" spans="1:18" s="83" customFormat="1" ht="25.5" customHeight="1" x14ac:dyDescent="0.25">
      <c r="A36" s="725" t="s">
        <v>59</v>
      </c>
      <c r="B36" s="726"/>
      <c r="C36" s="726"/>
      <c r="D36" s="726"/>
      <c r="E36" s="727"/>
      <c r="F36" s="483"/>
      <c r="G36" s="483"/>
      <c r="H36" s="483"/>
      <c r="I36" s="483"/>
      <c r="J36" s="483"/>
      <c r="K36" s="483"/>
      <c r="L36" s="483"/>
      <c r="M36" s="483"/>
      <c r="N36" s="483"/>
      <c r="O36" s="483"/>
      <c r="P36" s="499"/>
      <c r="Q36" s="498"/>
      <c r="R36" s="540">
        <f t="shared" si="7"/>
        <v>0</v>
      </c>
    </row>
    <row r="37" spans="1:18" s="83" customFormat="1" ht="25.5" customHeight="1" x14ac:dyDescent="0.25">
      <c r="A37" s="725" t="s">
        <v>60</v>
      </c>
      <c r="B37" s="726"/>
      <c r="C37" s="726"/>
      <c r="D37" s="726"/>
      <c r="E37" s="727"/>
      <c r="F37" s="483"/>
      <c r="G37" s="483"/>
      <c r="H37" s="483"/>
      <c r="I37" s="483"/>
      <c r="J37" s="483"/>
      <c r="K37" s="483"/>
      <c r="L37" s="483"/>
      <c r="M37" s="483"/>
      <c r="N37" s="483"/>
      <c r="O37" s="483"/>
      <c r="P37" s="499"/>
      <c r="Q37" s="498"/>
      <c r="R37" s="540">
        <f t="shared" si="7"/>
        <v>0</v>
      </c>
    </row>
    <row r="38" spans="1:18" s="83" customFormat="1" ht="25.5" customHeight="1" x14ac:dyDescent="0.25">
      <c r="A38" s="725" t="s">
        <v>105</v>
      </c>
      <c r="B38" s="726"/>
      <c r="C38" s="726"/>
      <c r="D38" s="726"/>
      <c r="E38" s="727"/>
      <c r="F38" s="483"/>
      <c r="G38" s="483"/>
      <c r="H38" s="483"/>
      <c r="I38" s="483"/>
      <c r="J38" s="483"/>
      <c r="K38" s="483"/>
      <c r="L38" s="483"/>
      <c r="M38" s="483"/>
      <c r="N38" s="483"/>
      <c r="O38" s="483"/>
      <c r="P38" s="499"/>
      <c r="Q38" s="498"/>
      <c r="R38" s="540">
        <f t="shared" si="7"/>
        <v>0</v>
      </c>
    </row>
    <row r="39" spans="1:18" s="83" customFormat="1" ht="25.5" customHeight="1" x14ac:dyDescent="0.25">
      <c r="A39" s="725" t="s">
        <v>106</v>
      </c>
      <c r="B39" s="726"/>
      <c r="C39" s="726"/>
      <c r="D39" s="726"/>
      <c r="E39" s="727"/>
      <c r="F39" s="483"/>
      <c r="G39" s="483"/>
      <c r="H39" s="483"/>
      <c r="I39" s="483"/>
      <c r="J39" s="483"/>
      <c r="K39" s="483"/>
      <c r="L39" s="483"/>
      <c r="M39" s="483"/>
      <c r="N39" s="483"/>
      <c r="O39" s="483"/>
      <c r="P39" s="499"/>
      <c r="Q39" s="498"/>
      <c r="R39" s="540">
        <f t="shared" si="7"/>
        <v>0</v>
      </c>
    </row>
    <row r="40" spans="1:18" s="83" customFormat="1" ht="25.5" customHeight="1" x14ac:dyDescent="0.25">
      <c r="A40" s="725" t="s">
        <v>206</v>
      </c>
      <c r="B40" s="726"/>
      <c r="C40" s="726"/>
      <c r="D40" s="726"/>
      <c r="E40" s="727"/>
      <c r="F40" s="483"/>
      <c r="G40" s="483"/>
      <c r="H40" s="483"/>
      <c r="I40" s="483"/>
      <c r="J40" s="483"/>
      <c r="K40" s="483"/>
      <c r="L40" s="483"/>
      <c r="M40" s="483"/>
      <c r="N40" s="483"/>
      <c r="O40" s="483"/>
      <c r="P40" s="499"/>
      <c r="Q40" s="498"/>
      <c r="R40" s="540">
        <f t="shared" si="7"/>
        <v>0</v>
      </c>
    </row>
    <row r="41" spans="1:18" s="83" customFormat="1" ht="25.5" customHeight="1" x14ac:dyDescent="0.25">
      <c r="A41" s="725" t="s">
        <v>108</v>
      </c>
      <c r="B41" s="726"/>
      <c r="C41" s="726"/>
      <c r="D41" s="726"/>
      <c r="E41" s="727"/>
      <c r="F41" s="483"/>
      <c r="G41" s="483"/>
      <c r="H41" s="483"/>
      <c r="I41" s="483"/>
      <c r="J41" s="483"/>
      <c r="K41" s="483"/>
      <c r="L41" s="483"/>
      <c r="M41" s="483"/>
      <c r="N41" s="483"/>
      <c r="O41" s="483"/>
      <c r="P41" s="499"/>
      <c r="Q41" s="498"/>
      <c r="R41" s="540">
        <f t="shared" si="7"/>
        <v>0</v>
      </c>
    </row>
    <row r="42" spans="1:18" s="83" customFormat="1" ht="25.5" customHeight="1" x14ac:dyDescent="0.25">
      <c r="A42" s="766"/>
      <c r="B42" s="767"/>
      <c r="C42" s="767"/>
      <c r="D42" s="767"/>
      <c r="E42" s="768"/>
      <c r="F42" s="483"/>
      <c r="G42" s="483"/>
      <c r="H42" s="483"/>
      <c r="I42" s="483"/>
      <c r="J42" s="483"/>
      <c r="K42" s="483"/>
      <c r="L42" s="483"/>
      <c r="M42" s="483"/>
      <c r="N42" s="483"/>
      <c r="O42" s="483"/>
      <c r="P42" s="499"/>
      <c r="Q42" s="498"/>
      <c r="R42" s="540">
        <f t="shared" si="7"/>
        <v>0</v>
      </c>
    </row>
    <row r="43" spans="1:18" s="83" customFormat="1" ht="25.5" customHeight="1" x14ac:dyDescent="0.25">
      <c r="A43" s="725" t="s">
        <v>207</v>
      </c>
      <c r="B43" s="726"/>
      <c r="C43" s="726"/>
      <c r="D43" s="726"/>
      <c r="E43" s="727"/>
      <c r="F43" s="483"/>
      <c r="G43" s="483"/>
      <c r="H43" s="483"/>
      <c r="I43" s="483"/>
      <c r="J43" s="483"/>
      <c r="K43" s="483"/>
      <c r="L43" s="483"/>
      <c r="M43" s="483"/>
      <c r="N43" s="483"/>
      <c r="O43" s="483"/>
      <c r="P43" s="499"/>
      <c r="Q43" s="498"/>
      <c r="R43" s="540">
        <f t="shared" si="7"/>
        <v>0</v>
      </c>
    </row>
    <row r="44" spans="1:18" s="83" customFormat="1" ht="25.5" customHeight="1" x14ac:dyDescent="0.25">
      <c r="A44" s="725" t="s">
        <v>58</v>
      </c>
      <c r="B44" s="726"/>
      <c r="C44" s="726"/>
      <c r="D44" s="726"/>
      <c r="E44" s="727"/>
      <c r="F44" s="483"/>
      <c r="G44" s="483"/>
      <c r="H44" s="483"/>
      <c r="I44" s="483"/>
      <c r="J44" s="483"/>
      <c r="K44" s="483"/>
      <c r="L44" s="483"/>
      <c r="M44" s="483"/>
      <c r="N44" s="483"/>
      <c r="O44" s="483"/>
      <c r="P44" s="499"/>
      <c r="Q44" s="498"/>
      <c r="R44" s="540">
        <f t="shared" si="7"/>
        <v>0</v>
      </c>
    </row>
    <row r="45" spans="1:18" s="83" customFormat="1" ht="25.5" customHeight="1" x14ac:dyDescent="0.25">
      <c r="A45" s="725" t="s">
        <v>208</v>
      </c>
      <c r="B45" s="726"/>
      <c r="C45" s="726"/>
      <c r="D45" s="726"/>
      <c r="E45" s="727"/>
      <c r="F45" s="483"/>
      <c r="G45" s="483"/>
      <c r="H45" s="483"/>
      <c r="I45" s="483"/>
      <c r="J45" s="483"/>
      <c r="K45" s="483"/>
      <c r="L45" s="483"/>
      <c r="M45" s="483"/>
      <c r="N45" s="483"/>
      <c r="O45" s="483"/>
      <c r="P45" s="499"/>
      <c r="Q45" s="498"/>
      <c r="R45" s="540">
        <f t="shared" si="7"/>
        <v>0</v>
      </c>
    </row>
    <row r="46" spans="1:18" s="83" customFormat="1" ht="25.5" customHeight="1" x14ac:dyDescent="0.25">
      <c r="A46" s="725"/>
      <c r="B46" s="726"/>
      <c r="C46" s="726"/>
      <c r="D46" s="726"/>
      <c r="E46" s="727"/>
      <c r="F46" s="483"/>
      <c r="G46" s="483"/>
      <c r="H46" s="483"/>
      <c r="I46" s="483"/>
      <c r="J46" s="483"/>
      <c r="K46" s="483"/>
      <c r="L46" s="483"/>
      <c r="M46" s="483"/>
      <c r="N46" s="483"/>
      <c r="O46" s="483"/>
      <c r="P46" s="499"/>
      <c r="Q46" s="498"/>
      <c r="R46" s="540">
        <f t="shared" si="7"/>
        <v>0</v>
      </c>
    </row>
    <row r="47" spans="1:18" s="83" customFormat="1" ht="25.5" customHeight="1" x14ac:dyDescent="0.25">
      <c r="A47" s="725" t="s">
        <v>78</v>
      </c>
      <c r="B47" s="726"/>
      <c r="C47" s="726"/>
      <c r="D47" s="726"/>
      <c r="E47" s="727"/>
      <c r="F47" s="483"/>
      <c r="G47" s="483"/>
      <c r="H47" s="483"/>
      <c r="I47" s="483"/>
      <c r="J47" s="483"/>
      <c r="K47" s="483"/>
      <c r="L47" s="483"/>
      <c r="M47" s="483"/>
      <c r="N47" s="483"/>
      <c r="O47" s="483"/>
      <c r="P47" s="499"/>
      <c r="Q47" s="498"/>
      <c r="R47" s="540">
        <f t="shared" si="7"/>
        <v>0</v>
      </c>
    </row>
    <row r="48" spans="1:18" s="83" customFormat="1" ht="25.5" customHeight="1" x14ac:dyDescent="0.25">
      <c r="A48" s="725"/>
      <c r="B48" s="726"/>
      <c r="C48" s="726"/>
      <c r="D48" s="726"/>
      <c r="E48" s="727"/>
      <c r="F48" s="483"/>
      <c r="G48" s="483"/>
      <c r="H48" s="483"/>
      <c r="I48" s="483"/>
      <c r="J48" s="483"/>
      <c r="K48" s="483"/>
      <c r="L48" s="483"/>
      <c r="M48" s="483"/>
      <c r="N48" s="483"/>
      <c r="O48" s="483"/>
      <c r="P48" s="499"/>
      <c r="Q48" s="498"/>
      <c r="R48" s="540">
        <f t="shared" si="7"/>
        <v>0</v>
      </c>
    </row>
    <row r="49" spans="1:18" s="83" customFormat="1" ht="25.5" customHeight="1" x14ac:dyDescent="0.25">
      <c r="A49" s="725" t="s">
        <v>209</v>
      </c>
      <c r="B49" s="726"/>
      <c r="C49" s="726"/>
      <c r="D49" s="726"/>
      <c r="E49" s="727"/>
      <c r="F49" s="483"/>
      <c r="G49" s="483"/>
      <c r="H49" s="483"/>
      <c r="I49" s="483"/>
      <c r="J49" s="483"/>
      <c r="K49" s="483"/>
      <c r="L49" s="483"/>
      <c r="M49" s="483"/>
      <c r="N49" s="483"/>
      <c r="O49" s="483"/>
      <c r="P49" s="499"/>
      <c r="Q49" s="498"/>
      <c r="R49" s="540">
        <f t="shared" si="7"/>
        <v>0</v>
      </c>
    </row>
    <row r="50" spans="1:18" s="83" customFormat="1" ht="25.5" customHeight="1" x14ac:dyDescent="0.25">
      <c r="A50" s="725" t="s">
        <v>210</v>
      </c>
      <c r="B50" s="726"/>
      <c r="C50" s="726"/>
      <c r="D50" s="726"/>
      <c r="E50" s="727"/>
      <c r="F50" s="483"/>
      <c r="G50" s="483"/>
      <c r="H50" s="483"/>
      <c r="I50" s="483"/>
      <c r="J50" s="483"/>
      <c r="K50" s="483"/>
      <c r="L50" s="483"/>
      <c r="M50" s="483"/>
      <c r="N50" s="483"/>
      <c r="O50" s="483"/>
      <c r="P50" s="499"/>
      <c r="Q50" s="498"/>
      <c r="R50" s="540">
        <f t="shared" si="7"/>
        <v>0</v>
      </c>
    </row>
    <row r="51" spans="1:18" s="83" customFormat="1" ht="25.5" customHeight="1" x14ac:dyDescent="0.25">
      <c r="A51" s="725" t="s">
        <v>211</v>
      </c>
      <c r="B51" s="726"/>
      <c r="C51" s="726"/>
      <c r="D51" s="726"/>
      <c r="E51" s="727"/>
      <c r="F51" s="483"/>
      <c r="G51" s="483"/>
      <c r="H51" s="483"/>
      <c r="I51" s="483"/>
      <c r="J51" s="483"/>
      <c r="K51" s="483"/>
      <c r="L51" s="483"/>
      <c r="M51" s="483"/>
      <c r="N51" s="483"/>
      <c r="O51" s="483"/>
      <c r="P51" s="499"/>
      <c r="Q51" s="498"/>
      <c r="R51" s="540">
        <f t="shared" si="7"/>
        <v>0</v>
      </c>
    </row>
    <row r="52" spans="1:18" s="83" customFormat="1" ht="25.5" customHeight="1" x14ac:dyDescent="0.25">
      <c r="A52" s="725" t="s">
        <v>75</v>
      </c>
      <c r="B52" s="726"/>
      <c r="C52" s="726"/>
      <c r="D52" s="726"/>
      <c r="E52" s="727"/>
      <c r="F52" s="483"/>
      <c r="G52" s="483"/>
      <c r="H52" s="483"/>
      <c r="I52" s="483"/>
      <c r="J52" s="483"/>
      <c r="K52" s="483"/>
      <c r="L52" s="483"/>
      <c r="M52" s="483"/>
      <c r="N52" s="483"/>
      <c r="O52" s="483"/>
      <c r="P52" s="499"/>
      <c r="Q52" s="498"/>
      <c r="R52" s="540">
        <f t="shared" si="7"/>
        <v>0</v>
      </c>
    </row>
    <row r="53" spans="1:18" s="83" customFormat="1" ht="25.5" customHeight="1" x14ac:dyDescent="0.25">
      <c r="A53" s="725" t="s">
        <v>212</v>
      </c>
      <c r="B53" s="726"/>
      <c r="C53" s="726"/>
      <c r="D53" s="726"/>
      <c r="E53" s="727"/>
      <c r="F53" s="483"/>
      <c r="G53" s="483"/>
      <c r="H53" s="483"/>
      <c r="I53" s="483"/>
      <c r="J53" s="483"/>
      <c r="K53" s="483"/>
      <c r="L53" s="483"/>
      <c r="M53" s="483"/>
      <c r="N53" s="483"/>
      <c r="O53" s="483"/>
      <c r="P53" s="499"/>
      <c r="Q53" s="498"/>
      <c r="R53" s="540">
        <f t="shared" si="7"/>
        <v>0</v>
      </c>
    </row>
    <row r="54" spans="1:18" s="83" customFormat="1" ht="25.5" customHeight="1" x14ac:dyDescent="0.25">
      <c r="A54" s="725" t="s">
        <v>205</v>
      </c>
      <c r="B54" s="726"/>
      <c r="C54" s="726"/>
      <c r="D54" s="726"/>
      <c r="E54" s="727"/>
      <c r="F54" s="483"/>
      <c r="G54" s="483"/>
      <c r="H54" s="483"/>
      <c r="I54" s="483"/>
      <c r="J54" s="483"/>
      <c r="K54" s="483"/>
      <c r="L54" s="483"/>
      <c r="M54" s="483"/>
      <c r="N54" s="483"/>
      <c r="O54" s="483"/>
      <c r="P54" s="499"/>
      <c r="Q54" s="498"/>
      <c r="R54" s="540">
        <f t="shared" si="7"/>
        <v>0</v>
      </c>
    </row>
    <row r="55" spans="1:18" s="83" customFormat="1" ht="25.5" customHeight="1" x14ac:dyDescent="0.25">
      <c r="A55" s="725" t="s">
        <v>109</v>
      </c>
      <c r="B55" s="726"/>
      <c r="C55" s="726"/>
      <c r="D55" s="726"/>
      <c r="E55" s="727"/>
      <c r="F55" s="483"/>
      <c r="G55" s="483"/>
      <c r="H55" s="483"/>
      <c r="I55" s="483"/>
      <c r="J55" s="483"/>
      <c r="K55" s="483"/>
      <c r="L55" s="483"/>
      <c r="M55" s="483"/>
      <c r="N55" s="483"/>
      <c r="O55" s="483"/>
      <c r="P55" s="499"/>
      <c r="Q55" s="498"/>
      <c r="R55" s="540">
        <f t="shared" si="7"/>
        <v>0</v>
      </c>
    </row>
    <row r="56" spans="1:18" s="83" customFormat="1" ht="25.5" customHeight="1" x14ac:dyDescent="0.25">
      <c r="A56" s="725"/>
      <c r="B56" s="726"/>
      <c r="C56" s="726"/>
      <c r="D56" s="726"/>
      <c r="E56" s="727"/>
      <c r="F56" s="483"/>
      <c r="G56" s="483"/>
      <c r="H56" s="483"/>
      <c r="I56" s="483"/>
      <c r="J56" s="483"/>
      <c r="K56" s="483"/>
      <c r="L56" s="483"/>
      <c r="M56" s="483"/>
      <c r="N56" s="483"/>
      <c r="O56" s="483"/>
      <c r="P56" s="499"/>
      <c r="Q56" s="498"/>
      <c r="R56" s="540">
        <f t="shared" si="7"/>
        <v>0</v>
      </c>
    </row>
    <row r="57" spans="1:18" s="83" customFormat="1" ht="25.5" customHeight="1" x14ac:dyDescent="0.25">
      <c r="A57" s="725"/>
      <c r="B57" s="726"/>
      <c r="C57" s="726"/>
      <c r="D57" s="726"/>
      <c r="E57" s="727"/>
      <c r="F57" s="483"/>
      <c r="G57" s="483"/>
      <c r="H57" s="483"/>
      <c r="I57" s="483"/>
      <c r="J57" s="483"/>
      <c r="K57" s="483"/>
      <c r="L57" s="483"/>
      <c r="M57" s="483"/>
      <c r="N57" s="483"/>
      <c r="O57" s="483"/>
      <c r="P57" s="499"/>
      <c r="Q57" s="498"/>
      <c r="R57" s="540">
        <f t="shared" si="7"/>
        <v>0</v>
      </c>
    </row>
    <row r="58" spans="1:18" s="83" customFormat="1" ht="18" customHeight="1" x14ac:dyDescent="0.25">
      <c r="A58" s="728" t="s">
        <v>110</v>
      </c>
      <c r="B58" s="729"/>
      <c r="C58" s="729"/>
      <c r="D58" s="729"/>
      <c r="E58" s="730"/>
      <c r="F58" s="543">
        <f t="shared" ref="F58:R58" si="8">SUM(F33:F57)</f>
        <v>0</v>
      </c>
      <c r="G58" s="543">
        <f t="shared" si="8"/>
        <v>0</v>
      </c>
      <c r="H58" s="543">
        <f t="shared" si="8"/>
        <v>0</v>
      </c>
      <c r="I58" s="543">
        <f t="shared" si="8"/>
        <v>0</v>
      </c>
      <c r="J58" s="543">
        <f t="shared" si="8"/>
        <v>0</v>
      </c>
      <c r="K58" s="543">
        <f t="shared" si="8"/>
        <v>0</v>
      </c>
      <c r="L58" s="543">
        <f t="shared" si="8"/>
        <v>0</v>
      </c>
      <c r="M58" s="543">
        <f t="shared" si="8"/>
        <v>0</v>
      </c>
      <c r="N58" s="543">
        <f t="shared" si="8"/>
        <v>0</v>
      </c>
      <c r="O58" s="543">
        <f t="shared" si="8"/>
        <v>0</v>
      </c>
      <c r="P58" s="543">
        <f t="shared" si="8"/>
        <v>0</v>
      </c>
      <c r="Q58" s="551">
        <f t="shared" si="8"/>
        <v>0</v>
      </c>
      <c r="R58" s="542">
        <f t="shared" si="8"/>
        <v>0</v>
      </c>
    </row>
    <row r="59" spans="1:18" s="83" customFormat="1" x14ac:dyDescent="0.25">
      <c r="A59" s="735" t="s">
        <v>111</v>
      </c>
      <c r="B59" s="736"/>
      <c r="C59" s="736"/>
      <c r="D59" s="736"/>
      <c r="E59" s="737"/>
      <c r="F59" s="552"/>
      <c r="G59" s="552"/>
      <c r="H59" s="552"/>
      <c r="I59" s="552"/>
      <c r="J59" s="552"/>
      <c r="K59" s="552"/>
      <c r="L59" s="552"/>
      <c r="M59" s="552"/>
      <c r="N59" s="552"/>
      <c r="O59" s="552"/>
      <c r="P59" s="545"/>
      <c r="Q59" s="553"/>
      <c r="R59" s="540">
        <f t="shared" si="7"/>
        <v>0</v>
      </c>
    </row>
    <row r="60" spans="1:18" s="83" customFormat="1" ht="21" customHeight="1" x14ac:dyDescent="0.25">
      <c r="A60" s="725"/>
      <c r="B60" s="726"/>
      <c r="C60" s="726"/>
      <c r="D60" s="726"/>
      <c r="E60" s="727"/>
      <c r="F60" s="544"/>
      <c r="G60" s="544"/>
      <c r="H60" s="544"/>
      <c r="I60" s="544"/>
      <c r="J60" s="544"/>
      <c r="K60" s="544"/>
      <c r="L60" s="544"/>
      <c r="M60" s="544"/>
      <c r="N60" s="544"/>
      <c r="O60" s="544"/>
      <c r="P60" s="545" t="s">
        <v>10</v>
      </c>
      <c r="Q60" s="546"/>
      <c r="R60" s="540">
        <f t="shared" si="7"/>
        <v>0</v>
      </c>
    </row>
    <row r="61" spans="1:18" s="83" customFormat="1" ht="21" customHeight="1" x14ac:dyDescent="0.25">
      <c r="A61" s="725"/>
      <c r="B61" s="726"/>
      <c r="C61" s="726"/>
      <c r="D61" s="726"/>
      <c r="E61" s="727"/>
      <c r="F61" s="544"/>
      <c r="G61" s="544"/>
      <c r="H61" s="544"/>
      <c r="I61" s="544"/>
      <c r="J61" s="544"/>
      <c r="K61" s="544"/>
      <c r="L61" s="544"/>
      <c r="M61" s="544"/>
      <c r="N61" s="544"/>
      <c r="O61" s="544"/>
      <c r="P61" s="545" t="s">
        <v>10</v>
      </c>
      <c r="Q61" s="546"/>
      <c r="R61" s="540">
        <f t="shared" si="7"/>
        <v>0</v>
      </c>
    </row>
    <row r="62" spans="1:18" s="83" customFormat="1" ht="21" customHeight="1" x14ac:dyDescent="0.25">
      <c r="A62" s="725"/>
      <c r="B62" s="726"/>
      <c r="C62" s="726"/>
      <c r="D62" s="726"/>
      <c r="E62" s="727"/>
      <c r="F62" s="544"/>
      <c r="G62" s="544"/>
      <c r="H62" s="544"/>
      <c r="I62" s="544"/>
      <c r="J62" s="544"/>
      <c r="K62" s="544"/>
      <c r="L62" s="544"/>
      <c r="M62" s="544"/>
      <c r="N62" s="544"/>
      <c r="O62" s="544"/>
      <c r="P62" s="545" t="s">
        <v>10</v>
      </c>
      <c r="Q62" s="546"/>
      <c r="R62" s="540">
        <f t="shared" si="7"/>
        <v>0</v>
      </c>
    </row>
    <row r="63" spans="1:18" s="83" customFormat="1" ht="21" customHeight="1" thickBot="1" x14ac:dyDescent="0.3">
      <c r="A63" s="741"/>
      <c r="B63" s="742"/>
      <c r="C63" s="742"/>
      <c r="D63" s="742"/>
      <c r="E63" s="743"/>
      <c r="F63" s="547"/>
      <c r="G63" s="547"/>
      <c r="H63" s="547"/>
      <c r="I63" s="547"/>
      <c r="J63" s="547"/>
      <c r="K63" s="547"/>
      <c r="L63" s="547"/>
      <c r="M63" s="547"/>
      <c r="N63" s="547"/>
      <c r="O63" s="547"/>
      <c r="P63" s="548" t="s">
        <v>10</v>
      </c>
      <c r="Q63" s="549"/>
      <c r="R63" s="541">
        <f t="shared" si="7"/>
        <v>0</v>
      </c>
    </row>
    <row r="64" spans="1:18" s="83" customFormat="1" ht="19.5" customHeight="1" thickTop="1" x14ac:dyDescent="0.25">
      <c r="A64" s="728" t="s">
        <v>112</v>
      </c>
      <c r="B64" s="729"/>
      <c r="C64" s="729"/>
      <c r="D64" s="729"/>
      <c r="E64" s="730"/>
      <c r="F64" s="509">
        <f>SUM(F59:F63)</f>
        <v>0</v>
      </c>
      <c r="G64" s="509">
        <f t="shared" ref="G64:Q64" si="9">SUM(G59:G63)</f>
        <v>0</v>
      </c>
      <c r="H64" s="509">
        <f t="shared" si="9"/>
        <v>0</v>
      </c>
      <c r="I64" s="509">
        <f t="shared" si="9"/>
        <v>0</v>
      </c>
      <c r="J64" s="509">
        <f t="shared" si="9"/>
        <v>0</v>
      </c>
      <c r="K64" s="509">
        <f t="shared" si="9"/>
        <v>0</v>
      </c>
      <c r="L64" s="509">
        <f t="shared" si="9"/>
        <v>0</v>
      </c>
      <c r="M64" s="509">
        <f t="shared" si="9"/>
        <v>0</v>
      </c>
      <c r="N64" s="509">
        <f t="shared" si="9"/>
        <v>0</v>
      </c>
      <c r="O64" s="509">
        <f t="shared" si="9"/>
        <v>0</v>
      </c>
      <c r="P64" s="509">
        <f t="shared" si="9"/>
        <v>0</v>
      </c>
      <c r="Q64" s="510">
        <f t="shared" si="9"/>
        <v>0</v>
      </c>
      <c r="R64" s="539">
        <f>SUM(R59:R63)</f>
        <v>0</v>
      </c>
    </row>
    <row r="65" spans="1:18" s="83" customFormat="1" ht="21.75" customHeight="1" x14ac:dyDescent="0.25">
      <c r="A65" s="731" t="s">
        <v>217</v>
      </c>
      <c r="B65" s="732"/>
      <c r="C65" s="732"/>
      <c r="D65" s="732"/>
      <c r="E65" s="733"/>
      <c r="F65" s="506">
        <f>F58+F64</f>
        <v>0</v>
      </c>
      <c r="G65" s="506">
        <f t="shared" ref="G65:Q65" si="10">G58+G64</f>
        <v>0</v>
      </c>
      <c r="H65" s="506">
        <f t="shared" si="10"/>
        <v>0</v>
      </c>
      <c r="I65" s="506">
        <f t="shared" si="10"/>
        <v>0</v>
      </c>
      <c r="J65" s="506">
        <f t="shared" si="10"/>
        <v>0</v>
      </c>
      <c r="K65" s="506">
        <f t="shared" si="10"/>
        <v>0</v>
      </c>
      <c r="L65" s="506">
        <f t="shared" si="10"/>
        <v>0</v>
      </c>
      <c r="M65" s="506">
        <f t="shared" si="10"/>
        <v>0</v>
      </c>
      <c r="N65" s="506">
        <f t="shared" si="10"/>
        <v>0</v>
      </c>
      <c r="O65" s="506">
        <f t="shared" si="10"/>
        <v>0</v>
      </c>
      <c r="P65" s="506">
        <f t="shared" si="10"/>
        <v>0</v>
      </c>
      <c r="Q65" s="508">
        <f t="shared" si="10"/>
        <v>0</v>
      </c>
      <c r="R65" s="550">
        <f>R58+R64</f>
        <v>0</v>
      </c>
    </row>
    <row r="66" spans="1:18" s="83" customFormat="1" x14ac:dyDescent="0.25">
      <c r="A66" s="734" t="s">
        <v>204</v>
      </c>
      <c r="B66" s="734"/>
      <c r="C66" s="734"/>
      <c r="D66" s="734"/>
      <c r="E66" s="734"/>
      <c r="F66" s="734"/>
      <c r="G66" s="734"/>
      <c r="H66" s="734"/>
      <c r="I66" s="734"/>
      <c r="J66" s="734"/>
      <c r="K66" s="734"/>
      <c r="L66" s="734"/>
      <c r="M66" s="734"/>
      <c r="N66" s="734"/>
      <c r="O66" s="734"/>
      <c r="P66" s="734"/>
      <c r="Q66" s="734"/>
      <c r="R66" s="734"/>
    </row>
    <row r="67" spans="1:18" s="83" customFormat="1" x14ac:dyDescent="0.25">
      <c r="A67" s="735" t="s">
        <v>271</v>
      </c>
      <c r="B67" s="736"/>
      <c r="C67" s="736"/>
      <c r="D67" s="736"/>
      <c r="E67" s="737"/>
      <c r="F67" s="102"/>
      <c r="G67" s="102"/>
      <c r="H67" s="102"/>
      <c r="I67" s="102"/>
      <c r="J67" s="102"/>
      <c r="K67" s="102"/>
      <c r="L67" s="102"/>
      <c r="M67" s="102"/>
      <c r="N67" s="102"/>
      <c r="O67" s="102"/>
      <c r="P67" s="500" t="s">
        <v>10</v>
      </c>
      <c r="Q67" s="501"/>
      <c r="R67" s="502"/>
    </row>
    <row r="68" spans="1:18" s="83" customFormat="1" ht="21" customHeight="1" x14ac:dyDescent="0.25">
      <c r="A68" s="744" t="s">
        <v>99</v>
      </c>
      <c r="B68" s="745"/>
      <c r="C68" s="745"/>
      <c r="D68" s="745"/>
      <c r="E68" s="746"/>
      <c r="F68" s="483"/>
      <c r="G68" s="483"/>
      <c r="H68" s="483"/>
      <c r="I68" s="483"/>
      <c r="J68" s="483"/>
      <c r="K68" s="483"/>
      <c r="L68" s="483"/>
      <c r="M68" s="483"/>
      <c r="N68" s="483"/>
      <c r="O68" s="483"/>
      <c r="P68" s="499"/>
      <c r="Q68" s="505"/>
      <c r="R68" s="504">
        <f>SUM(F68:Q68)</f>
        <v>0</v>
      </c>
    </row>
    <row r="69" spans="1:18" s="83" customFormat="1" ht="21" customHeight="1" x14ac:dyDescent="0.25">
      <c r="A69" s="731"/>
      <c r="B69" s="732"/>
      <c r="C69" s="732"/>
      <c r="D69" s="732"/>
      <c r="E69" s="733"/>
      <c r="F69" s="483"/>
      <c r="G69" s="483"/>
      <c r="H69" s="483"/>
      <c r="I69" s="483"/>
      <c r="J69" s="483"/>
      <c r="K69" s="483"/>
      <c r="L69" s="483"/>
      <c r="M69" s="483"/>
      <c r="N69" s="483"/>
      <c r="O69" s="483"/>
      <c r="P69" s="499"/>
      <c r="Q69" s="505"/>
      <c r="R69" s="504">
        <f t="shared" ref="R69:R73" si="11">SUM(F69:Q69)</f>
        <v>0</v>
      </c>
    </row>
    <row r="70" spans="1:18" s="83" customFormat="1" ht="21" customHeight="1" x14ac:dyDescent="0.25">
      <c r="A70" s="731"/>
      <c r="B70" s="732"/>
      <c r="C70" s="732"/>
      <c r="D70" s="732"/>
      <c r="E70" s="733"/>
      <c r="F70" s="483"/>
      <c r="G70" s="483"/>
      <c r="H70" s="483"/>
      <c r="I70" s="483"/>
      <c r="J70" s="483"/>
      <c r="K70" s="483"/>
      <c r="L70" s="483"/>
      <c r="M70" s="483"/>
      <c r="N70" s="483"/>
      <c r="O70" s="483"/>
      <c r="P70" s="499" t="s">
        <v>10</v>
      </c>
      <c r="Q70" s="505"/>
      <c r="R70" s="504">
        <f t="shared" si="11"/>
        <v>0</v>
      </c>
    </row>
    <row r="71" spans="1:18" s="83" customFormat="1" ht="21" customHeight="1" x14ac:dyDescent="0.25">
      <c r="A71" s="725"/>
      <c r="B71" s="726"/>
      <c r="C71" s="726"/>
      <c r="D71" s="726"/>
      <c r="E71" s="727"/>
      <c r="F71" s="483"/>
      <c r="G71" s="483"/>
      <c r="H71" s="483"/>
      <c r="I71" s="483"/>
      <c r="J71" s="483"/>
      <c r="K71" s="483"/>
      <c r="L71" s="483"/>
      <c r="M71" s="483"/>
      <c r="N71" s="483"/>
      <c r="O71" s="483"/>
      <c r="P71" s="499" t="s">
        <v>10</v>
      </c>
      <c r="Q71" s="505"/>
      <c r="R71" s="504">
        <f t="shared" si="11"/>
        <v>0</v>
      </c>
    </row>
    <row r="72" spans="1:18" s="83" customFormat="1" ht="21" customHeight="1" x14ac:dyDescent="0.25">
      <c r="A72" s="725"/>
      <c r="B72" s="726"/>
      <c r="C72" s="726"/>
      <c r="D72" s="726"/>
      <c r="E72" s="727"/>
      <c r="F72" s="483"/>
      <c r="G72" s="483"/>
      <c r="H72" s="483"/>
      <c r="I72" s="483"/>
      <c r="J72" s="483"/>
      <c r="K72" s="483"/>
      <c r="L72" s="483"/>
      <c r="M72" s="483"/>
      <c r="N72" s="483"/>
      <c r="O72" s="483"/>
      <c r="P72" s="499" t="s">
        <v>10</v>
      </c>
      <c r="Q72" s="505"/>
      <c r="R72" s="504">
        <f t="shared" si="11"/>
        <v>0</v>
      </c>
    </row>
    <row r="73" spans="1:18" s="83" customFormat="1" ht="21" customHeight="1" x14ac:dyDescent="0.25">
      <c r="A73" s="725"/>
      <c r="B73" s="726"/>
      <c r="C73" s="726"/>
      <c r="D73" s="726"/>
      <c r="E73" s="727"/>
      <c r="F73" s="483"/>
      <c r="G73" s="483"/>
      <c r="H73" s="483"/>
      <c r="I73" s="483"/>
      <c r="J73" s="483"/>
      <c r="K73" s="483"/>
      <c r="L73" s="483"/>
      <c r="M73" s="483"/>
      <c r="N73" s="483"/>
      <c r="O73" s="483"/>
      <c r="P73" s="499" t="s">
        <v>10</v>
      </c>
      <c r="Q73" s="505"/>
      <c r="R73" s="504">
        <f t="shared" si="11"/>
        <v>0</v>
      </c>
    </row>
    <row r="74" spans="1:18" s="83" customFormat="1" ht="16.5" customHeight="1" x14ac:dyDescent="0.25">
      <c r="A74" s="731" t="s">
        <v>113</v>
      </c>
      <c r="B74" s="732"/>
      <c r="C74" s="732"/>
      <c r="D74" s="732"/>
      <c r="E74" s="733"/>
      <c r="F74" s="494">
        <f t="shared" ref="F74:R74" si="12">SUM(F68:F73)</f>
        <v>0</v>
      </c>
      <c r="G74" s="494">
        <f t="shared" si="12"/>
        <v>0</v>
      </c>
      <c r="H74" s="494">
        <f t="shared" si="12"/>
        <v>0</v>
      </c>
      <c r="I74" s="494">
        <f t="shared" si="12"/>
        <v>0</v>
      </c>
      <c r="J74" s="494">
        <f t="shared" si="12"/>
        <v>0</v>
      </c>
      <c r="K74" s="494">
        <f t="shared" si="12"/>
        <v>0</v>
      </c>
      <c r="L74" s="494">
        <f t="shared" si="12"/>
        <v>0</v>
      </c>
      <c r="M74" s="494">
        <f t="shared" si="12"/>
        <v>0</v>
      </c>
      <c r="N74" s="494">
        <f t="shared" si="12"/>
        <v>0</v>
      </c>
      <c r="O74" s="494">
        <f t="shared" si="12"/>
        <v>0</v>
      </c>
      <c r="P74" s="511">
        <f t="shared" si="12"/>
        <v>0</v>
      </c>
      <c r="Q74" s="512">
        <f t="shared" si="12"/>
        <v>0</v>
      </c>
      <c r="R74" s="503">
        <f t="shared" si="12"/>
        <v>0</v>
      </c>
    </row>
    <row r="75" spans="1:18" s="83" customFormat="1" ht="27" customHeight="1" x14ac:dyDescent="0.25">
      <c r="A75" s="751" t="s">
        <v>219</v>
      </c>
      <c r="B75" s="752"/>
      <c r="C75" s="752"/>
      <c r="D75" s="752"/>
      <c r="E75" s="753"/>
      <c r="F75" s="506">
        <f t="shared" ref="F75:Q75" si="13">F65+F74</f>
        <v>0</v>
      </c>
      <c r="G75" s="506">
        <f t="shared" si="13"/>
        <v>0</v>
      </c>
      <c r="H75" s="506">
        <f t="shared" si="13"/>
        <v>0</v>
      </c>
      <c r="I75" s="506">
        <f t="shared" si="13"/>
        <v>0</v>
      </c>
      <c r="J75" s="506">
        <f t="shared" si="13"/>
        <v>0</v>
      </c>
      <c r="K75" s="506">
        <f t="shared" si="13"/>
        <v>0</v>
      </c>
      <c r="L75" s="506">
        <f t="shared" si="13"/>
        <v>0</v>
      </c>
      <c r="M75" s="506">
        <f t="shared" si="13"/>
        <v>0</v>
      </c>
      <c r="N75" s="506">
        <f t="shared" si="13"/>
        <v>0</v>
      </c>
      <c r="O75" s="506">
        <f t="shared" si="13"/>
        <v>0</v>
      </c>
      <c r="P75" s="506">
        <f t="shared" si="13"/>
        <v>0</v>
      </c>
      <c r="Q75" s="507">
        <f t="shared" si="13"/>
        <v>0</v>
      </c>
      <c r="R75" s="111">
        <f>SUM(F75:Q75)</f>
        <v>0</v>
      </c>
    </row>
    <row r="76" spans="1:18" s="83" customFormat="1" ht="21" customHeight="1" x14ac:dyDescent="0.25">
      <c r="A76" s="754" t="s">
        <v>114</v>
      </c>
      <c r="B76" s="754"/>
      <c r="C76" s="754"/>
      <c r="D76" s="754"/>
      <c r="E76" s="754"/>
      <c r="F76" s="754"/>
      <c r="G76" s="754"/>
      <c r="H76" s="754"/>
      <c r="I76" s="754"/>
      <c r="J76" s="754"/>
      <c r="K76" s="754"/>
      <c r="L76" s="754"/>
      <c r="M76" s="754"/>
      <c r="N76" s="754"/>
      <c r="O76" s="754"/>
      <c r="P76" s="754"/>
      <c r="Q76" s="754"/>
      <c r="R76" s="754"/>
    </row>
    <row r="77" spans="1:18" s="83" customFormat="1" ht="21" customHeight="1" x14ac:dyDescent="0.25">
      <c r="A77" s="738"/>
      <c r="B77" s="739"/>
      <c r="C77" s="739"/>
      <c r="D77" s="739"/>
      <c r="E77" s="740"/>
      <c r="F77" s="516"/>
      <c r="G77" s="516"/>
      <c r="H77" s="516"/>
      <c r="I77" s="516"/>
      <c r="J77" s="516"/>
      <c r="K77" s="516"/>
      <c r="L77" s="516"/>
      <c r="M77" s="516"/>
      <c r="N77" s="516"/>
      <c r="O77" s="516"/>
      <c r="P77" s="497" t="s">
        <v>10</v>
      </c>
      <c r="Q77" s="517"/>
      <c r="R77" s="398">
        <f>SUM(F77:Q77)</f>
        <v>0</v>
      </c>
    </row>
    <row r="78" spans="1:18" s="83" customFormat="1" ht="21" customHeight="1" x14ac:dyDescent="0.25">
      <c r="A78" s="738"/>
      <c r="B78" s="739"/>
      <c r="C78" s="739"/>
      <c r="D78" s="739"/>
      <c r="E78" s="740"/>
      <c r="F78" s="516"/>
      <c r="G78" s="516"/>
      <c r="H78" s="516"/>
      <c r="I78" s="516"/>
      <c r="J78" s="516"/>
      <c r="K78" s="516"/>
      <c r="L78" s="516"/>
      <c r="M78" s="516"/>
      <c r="N78" s="516"/>
      <c r="O78" s="516"/>
      <c r="P78" s="497" t="s">
        <v>10</v>
      </c>
      <c r="Q78" s="517"/>
      <c r="R78" s="398">
        <f t="shared" ref="R78:R80" si="14">SUM(F78:Q78)</f>
        <v>0</v>
      </c>
    </row>
    <row r="79" spans="1:18" s="83" customFormat="1" ht="21" customHeight="1" x14ac:dyDescent="0.25">
      <c r="A79" s="722"/>
      <c r="B79" s="723"/>
      <c r="C79" s="723"/>
      <c r="D79" s="723"/>
      <c r="E79" s="724"/>
      <c r="F79" s="518"/>
      <c r="G79" s="518"/>
      <c r="H79" s="518"/>
      <c r="I79" s="518"/>
      <c r="J79" s="518"/>
      <c r="K79" s="518"/>
      <c r="L79" s="518"/>
      <c r="M79" s="518"/>
      <c r="N79" s="518"/>
      <c r="O79" s="518"/>
      <c r="P79" s="497" t="s">
        <v>10</v>
      </c>
      <c r="Q79" s="517"/>
      <c r="R79" s="398">
        <f t="shared" si="14"/>
        <v>0</v>
      </c>
    </row>
    <row r="80" spans="1:18" s="83" customFormat="1" ht="21" customHeight="1" thickBot="1" x14ac:dyDescent="0.3">
      <c r="A80" s="722"/>
      <c r="B80" s="723"/>
      <c r="C80" s="723"/>
      <c r="D80" s="723"/>
      <c r="E80" s="724"/>
      <c r="F80" s="519"/>
      <c r="G80" s="519"/>
      <c r="H80" s="519"/>
      <c r="I80" s="519"/>
      <c r="J80" s="519"/>
      <c r="K80" s="519"/>
      <c r="L80" s="519"/>
      <c r="M80" s="519"/>
      <c r="N80" s="519"/>
      <c r="O80" s="519"/>
      <c r="P80" s="520" t="s">
        <v>10</v>
      </c>
      <c r="Q80" s="521"/>
      <c r="R80" s="524">
        <f t="shared" si="14"/>
        <v>0</v>
      </c>
    </row>
    <row r="81" spans="1:18" s="83" customFormat="1" ht="16.5" thickTop="1" thickBot="1" x14ac:dyDescent="0.3">
      <c r="A81" s="731" t="s">
        <v>115</v>
      </c>
      <c r="B81" s="732"/>
      <c r="C81" s="732"/>
      <c r="D81" s="732"/>
      <c r="E81" s="733"/>
      <c r="F81" s="523">
        <f>SUM(F77:F80)</f>
        <v>0</v>
      </c>
      <c r="G81" s="523">
        <f t="shared" ref="G81:Q81" si="15">SUM(G77:G80)</f>
        <v>0</v>
      </c>
      <c r="H81" s="523">
        <f t="shared" si="15"/>
        <v>0</v>
      </c>
      <c r="I81" s="523">
        <f t="shared" si="15"/>
        <v>0</v>
      </c>
      <c r="J81" s="523">
        <f t="shared" si="15"/>
        <v>0</v>
      </c>
      <c r="K81" s="523">
        <f t="shared" si="15"/>
        <v>0</v>
      </c>
      <c r="L81" s="523">
        <f t="shared" si="15"/>
        <v>0</v>
      </c>
      <c r="M81" s="523">
        <f t="shared" si="15"/>
        <v>0</v>
      </c>
      <c r="N81" s="523">
        <f t="shared" si="15"/>
        <v>0</v>
      </c>
      <c r="O81" s="523">
        <f t="shared" si="15"/>
        <v>0</v>
      </c>
      <c r="P81" s="523">
        <f t="shared" si="15"/>
        <v>0</v>
      </c>
      <c r="Q81" s="522">
        <f t="shared" si="15"/>
        <v>0</v>
      </c>
      <c r="R81" s="527">
        <f>SUM(R77:R80)</f>
        <v>0</v>
      </c>
    </row>
    <row r="82" spans="1:18" s="83" customFormat="1" ht="21.75" customHeight="1" thickTop="1" x14ac:dyDescent="0.25">
      <c r="A82" s="731" t="s">
        <v>220</v>
      </c>
      <c r="B82" s="732"/>
      <c r="C82" s="732"/>
      <c r="D82" s="732"/>
      <c r="E82" s="733"/>
      <c r="F82" s="509">
        <f>F75+F81</f>
        <v>0</v>
      </c>
      <c r="G82" s="509">
        <f t="shared" ref="G82:Q82" si="16">G75+G81</f>
        <v>0</v>
      </c>
      <c r="H82" s="509">
        <f t="shared" si="16"/>
        <v>0</v>
      </c>
      <c r="I82" s="509">
        <f t="shared" si="16"/>
        <v>0</v>
      </c>
      <c r="J82" s="509">
        <f t="shared" si="16"/>
        <v>0</v>
      </c>
      <c r="K82" s="509">
        <f t="shared" si="16"/>
        <v>0</v>
      </c>
      <c r="L82" s="509">
        <f t="shared" si="16"/>
        <v>0</v>
      </c>
      <c r="M82" s="509">
        <f t="shared" si="16"/>
        <v>0</v>
      </c>
      <c r="N82" s="509">
        <f t="shared" si="16"/>
        <v>0</v>
      </c>
      <c r="O82" s="509">
        <f t="shared" si="16"/>
        <v>0</v>
      </c>
      <c r="P82" s="509">
        <f t="shared" si="16"/>
        <v>0</v>
      </c>
      <c r="Q82" s="525">
        <f t="shared" si="16"/>
        <v>0</v>
      </c>
      <c r="R82" s="528">
        <f>R75+R81</f>
        <v>0</v>
      </c>
    </row>
    <row r="83" spans="1:18" s="83" customFormat="1" ht="10.5" customHeight="1" x14ac:dyDescent="0.25">
      <c r="A83" s="731"/>
      <c r="B83" s="732"/>
      <c r="C83" s="732"/>
      <c r="D83" s="732"/>
      <c r="E83" s="733"/>
      <c r="F83" s="96"/>
      <c r="G83" s="96"/>
      <c r="H83" s="96"/>
      <c r="I83" s="96"/>
      <c r="J83" s="96"/>
      <c r="K83" s="96"/>
      <c r="L83" s="96"/>
      <c r="M83" s="96"/>
      <c r="N83" s="96"/>
      <c r="O83" s="96"/>
      <c r="P83" s="95"/>
      <c r="Q83" s="502"/>
      <c r="R83" s="502"/>
    </row>
    <row r="84" spans="1:18" s="83" customFormat="1" ht="21.75" customHeight="1" x14ac:dyDescent="0.25">
      <c r="A84" s="731" t="s">
        <v>116</v>
      </c>
      <c r="B84" s="732"/>
      <c r="C84" s="732"/>
      <c r="D84" s="732"/>
      <c r="E84" s="733"/>
      <c r="F84" s="529">
        <f t="shared" ref="F84:Q84" si="17">F28-F75</f>
        <v>0</v>
      </c>
      <c r="G84" s="529">
        <f t="shared" si="17"/>
        <v>0</v>
      </c>
      <c r="H84" s="529">
        <f t="shared" si="17"/>
        <v>0</v>
      </c>
      <c r="I84" s="529">
        <f t="shared" si="17"/>
        <v>0</v>
      </c>
      <c r="J84" s="529">
        <f t="shared" si="17"/>
        <v>0</v>
      </c>
      <c r="K84" s="529">
        <f t="shared" si="17"/>
        <v>0</v>
      </c>
      <c r="L84" s="529">
        <f t="shared" si="17"/>
        <v>0</v>
      </c>
      <c r="M84" s="529">
        <f t="shared" si="17"/>
        <v>0</v>
      </c>
      <c r="N84" s="529">
        <f t="shared" si="17"/>
        <v>0</v>
      </c>
      <c r="O84" s="529">
        <f t="shared" si="17"/>
        <v>0</v>
      </c>
      <c r="P84" s="529">
        <f t="shared" si="17"/>
        <v>0</v>
      </c>
      <c r="Q84" s="530">
        <f t="shared" si="17"/>
        <v>0</v>
      </c>
      <c r="R84" s="502"/>
    </row>
    <row r="85" spans="1:18" s="83" customFormat="1" ht="23.25" customHeight="1" thickBot="1" x14ac:dyDescent="0.3">
      <c r="A85" s="92"/>
      <c r="B85" s="92"/>
      <c r="C85" s="92"/>
      <c r="D85" s="92"/>
      <c r="E85" s="92"/>
      <c r="F85" s="92"/>
      <c r="G85" s="92"/>
      <c r="H85" s="92"/>
      <c r="I85" s="92"/>
      <c r="J85" s="92"/>
      <c r="K85" s="92"/>
      <c r="L85" s="92"/>
      <c r="M85" s="92"/>
      <c r="N85" s="92"/>
      <c r="O85" s="98"/>
      <c r="P85" s="92" t="s">
        <v>92</v>
      </c>
      <c r="R85" s="533">
        <f>R28-R82</f>
        <v>0</v>
      </c>
    </row>
    <row r="86" spans="1:18" s="83" customFormat="1" x14ac:dyDescent="0.25">
      <c r="A86" s="749" t="s">
        <v>117</v>
      </c>
      <c r="B86" s="749"/>
      <c r="C86" s="749"/>
      <c r="D86" s="749"/>
      <c r="E86" s="749"/>
      <c r="F86" s="749"/>
      <c r="G86" s="749"/>
      <c r="H86" s="749"/>
      <c r="I86" s="749"/>
      <c r="J86" s="749"/>
      <c r="K86" s="749"/>
      <c r="L86" s="749"/>
      <c r="M86" s="749"/>
      <c r="N86" s="749"/>
      <c r="O86" s="749"/>
      <c r="P86" s="749"/>
      <c r="Q86" s="749"/>
      <c r="R86" s="749"/>
    </row>
    <row r="87" spans="1:18" s="83" customFormat="1" x14ac:dyDescent="0.25">
      <c r="A87" s="750"/>
      <c r="B87" s="750"/>
      <c r="C87" s="750"/>
      <c r="D87" s="750"/>
      <c r="E87" s="750"/>
      <c r="F87" s="750"/>
      <c r="G87" s="750"/>
      <c r="H87" s="750"/>
      <c r="I87" s="750"/>
      <c r="J87" s="750"/>
      <c r="K87" s="750"/>
      <c r="L87" s="750"/>
      <c r="M87" s="750"/>
      <c r="N87" s="750"/>
      <c r="O87" s="750"/>
      <c r="P87" s="750"/>
      <c r="Q87" s="750"/>
      <c r="R87" s="750"/>
    </row>
    <row r="88" spans="1:18" s="83" customFormat="1" x14ac:dyDescent="0.25">
      <c r="A88" s="750"/>
      <c r="B88" s="750"/>
      <c r="C88" s="750"/>
      <c r="D88" s="750"/>
      <c r="E88" s="750"/>
      <c r="F88" s="750"/>
      <c r="G88" s="750"/>
      <c r="H88" s="750"/>
      <c r="I88" s="750"/>
      <c r="J88" s="750"/>
      <c r="K88" s="750"/>
      <c r="L88" s="750"/>
      <c r="M88" s="750"/>
      <c r="N88" s="750"/>
      <c r="O88" s="750"/>
      <c r="P88" s="750"/>
      <c r="Q88" s="750"/>
      <c r="R88" s="750"/>
    </row>
    <row r="89" spans="1:18" s="83" customFormat="1" ht="0.75" customHeight="1" x14ac:dyDescent="0.25">
      <c r="A89" s="750"/>
      <c r="B89" s="750"/>
      <c r="C89" s="750"/>
      <c r="D89" s="750"/>
      <c r="E89" s="750"/>
      <c r="F89" s="750"/>
      <c r="G89" s="750"/>
      <c r="H89" s="750"/>
      <c r="I89" s="750"/>
      <c r="J89" s="750"/>
      <c r="K89" s="750"/>
      <c r="L89" s="750"/>
      <c r="M89" s="750"/>
      <c r="N89" s="750"/>
      <c r="O89" s="750"/>
      <c r="P89" s="750"/>
      <c r="Q89" s="750"/>
      <c r="R89" s="750"/>
    </row>
    <row r="90" spans="1:18" s="83" customFormat="1" ht="48.75" customHeight="1" x14ac:dyDescent="0.25">
      <c r="A90" s="747"/>
      <c r="B90" s="747"/>
      <c r="C90" s="747"/>
      <c r="D90" s="747"/>
      <c r="E90" s="747"/>
      <c r="F90" s="747"/>
      <c r="G90" s="747"/>
      <c r="H90" s="85"/>
      <c r="I90" s="85"/>
      <c r="J90" s="85"/>
      <c r="K90" s="748"/>
      <c r="L90" s="748"/>
      <c r="M90" s="748"/>
      <c r="N90" s="748"/>
      <c r="O90" s="513"/>
      <c r="P90" s="513"/>
      <c r="Q90" s="513"/>
      <c r="R90" s="526"/>
    </row>
    <row r="91" spans="1:18" s="83" customFormat="1" x14ac:dyDescent="0.25">
      <c r="A91" s="86" t="s">
        <v>118</v>
      </c>
      <c r="B91" s="86"/>
      <c r="C91" s="86"/>
      <c r="D91" s="86"/>
      <c r="E91" s="86"/>
      <c r="F91" s="85"/>
      <c r="G91" s="85"/>
      <c r="H91" s="85"/>
      <c r="I91" s="85"/>
      <c r="J91" s="85"/>
      <c r="K91" s="86" t="s">
        <v>118</v>
      </c>
      <c r="L91" s="86"/>
      <c r="M91" s="85"/>
      <c r="N91" s="85"/>
    </row>
    <row r="92" spans="1:18" s="83" customFormat="1" x14ac:dyDescent="0.25"/>
    <row r="93" spans="1:18" s="83" customFormat="1" x14ac:dyDescent="0.25">
      <c r="A93" s="87"/>
      <c r="B93" s="87"/>
      <c r="C93" s="87"/>
      <c r="D93" s="87"/>
      <c r="E93" s="87"/>
      <c r="F93" s="515"/>
      <c r="G93" s="515"/>
      <c r="H93" s="85"/>
      <c r="I93" s="85"/>
      <c r="J93" s="85"/>
      <c r="K93" s="88"/>
      <c r="L93" s="88"/>
      <c r="M93" s="88"/>
      <c r="N93" s="88"/>
      <c r="O93" s="514"/>
      <c r="P93" s="514"/>
    </row>
    <row r="94" spans="1:18" s="83" customFormat="1" x14ac:dyDescent="0.25">
      <c r="A94" s="86" t="s">
        <v>26</v>
      </c>
      <c r="B94" s="86"/>
      <c r="C94" s="86"/>
      <c r="D94" s="86"/>
      <c r="E94" s="86"/>
      <c r="F94" s="85"/>
      <c r="G94" s="85"/>
      <c r="H94" s="85"/>
      <c r="I94" s="85"/>
      <c r="J94" s="85"/>
      <c r="K94" s="86" t="s">
        <v>26</v>
      </c>
      <c r="L94" s="85"/>
      <c r="M94" s="85"/>
      <c r="N94" s="85"/>
    </row>
  </sheetData>
  <mergeCells count="72">
    <mergeCell ref="A7:E7"/>
    <mergeCell ref="A33:E33"/>
    <mergeCell ref="A34:E34"/>
    <mergeCell ref="A35:E35"/>
    <mergeCell ref="A24:D24"/>
    <mergeCell ref="A25:D25"/>
    <mergeCell ref="A26:D26"/>
    <mergeCell ref="A27:D27"/>
    <mergeCell ref="A28:D28"/>
    <mergeCell ref="A1:R1"/>
    <mergeCell ref="A2:R2"/>
    <mergeCell ref="A3:R3"/>
    <mergeCell ref="A6:R6"/>
    <mergeCell ref="B5:G5"/>
    <mergeCell ref="L5:O5"/>
    <mergeCell ref="A48:E48"/>
    <mergeCell ref="A36:E36"/>
    <mergeCell ref="A38:E38"/>
    <mergeCell ref="A39:E39"/>
    <mergeCell ref="A40:E40"/>
    <mergeCell ref="A41:E41"/>
    <mergeCell ref="A43:E43"/>
    <mergeCell ref="A42:E42"/>
    <mergeCell ref="A37:E37"/>
    <mergeCell ref="A46:E46"/>
    <mergeCell ref="A47:E47"/>
    <mergeCell ref="A55:E55"/>
    <mergeCell ref="A56:E56"/>
    <mergeCell ref="A57:E57"/>
    <mergeCell ref="A22:D22"/>
    <mergeCell ref="A23:D23"/>
    <mergeCell ref="A50:E50"/>
    <mergeCell ref="A51:E51"/>
    <mergeCell ref="A52:E52"/>
    <mergeCell ref="A53:E53"/>
    <mergeCell ref="A54:E54"/>
    <mergeCell ref="A32:E32"/>
    <mergeCell ref="A31:R31"/>
    <mergeCell ref="A44:E44"/>
    <mergeCell ref="A45:E45"/>
    <mergeCell ref="F23:R23"/>
    <mergeCell ref="A49:E49"/>
    <mergeCell ref="A63:E63"/>
    <mergeCell ref="A68:E68"/>
    <mergeCell ref="A69:E69"/>
    <mergeCell ref="A90:G90"/>
    <mergeCell ref="K90:N90"/>
    <mergeCell ref="A86:R89"/>
    <mergeCell ref="A74:E74"/>
    <mergeCell ref="A75:E75"/>
    <mergeCell ref="A76:R76"/>
    <mergeCell ref="A70:E70"/>
    <mergeCell ref="A83:E83"/>
    <mergeCell ref="A84:E84"/>
    <mergeCell ref="A80:E80"/>
    <mergeCell ref="A81:E81"/>
    <mergeCell ref="A82:E82"/>
    <mergeCell ref="A78:E78"/>
    <mergeCell ref="A58:E58"/>
    <mergeCell ref="A59:E59"/>
    <mergeCell ref="A60:E60"/>
    <mergeCell ref="A61:E61"/>
    <mergeCell ref="A62:E62"/>
    <mergeCell ref="A79:E79"/>
    <mergeCell ref="A71:E71"/>
    <mergeCell ref="A72:E72"/>
    <mergeCell ref="A73:E73"/>
    <mergeCell ref="A64:E64"/>
    <mergeCell ref="A65:E65"/>
    <mergeCell ref="A66:R66"/>
    <mergeCell ref="A67:E67"/>
    <mergeCell ref="A77:E77"/>
  </mergeCells>
  <pageMargins left="0.2" right="0.2" top="0.25" bottom="0" header="0.3" footer="0.3"/>
  <pageSetup paperSize="5" scale="49" fitToWidth="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54"/>
  <sheetViews>
    <sheetView view="pageLayout" zoomScaleNormal="100" workbookViewId="0">
      <selection activeCell="E13" sqref="E13"/>
    </sheetView>
  </sheetViews>
  <sheetFormatPr defaultRowHeight="15" x14ac:dyDescent="0.25"/>
  <cols>
    <col min="1" max="1" width="13.140625" customWidth="1"/>
    <col min="2" max="2" width="23.5703125" customWidth="1"/>
    <col min="3" max="3" width="8.7109375" customWidth="1"/>
    <col min="4" max="4" width="9.140625" customWidth="1"/>
    <col min="5" max="5" width="9.28515625" bestFit="1" customWidth="1"/>
    <col min="6" max="6" width="3.85546875" customWidth="1"/>
    <col min="7" max="8" width="10.28515625" bestFit="1" customWidth="1"/>
    <col min="9" max="9" width="9.28515625" bestFit="1" customWidth="1"/>
  </cols>
  <sheetData>
    <row r="1" spans="1:9" x14ac:dyDescent="0.25">
      <c r="A1" s="788" t="s">
        <v>202</v>
      </c>
      <c r="B1" s="788"/>
      <c r="C1" s="788"/>
      <c r="D1" s="788"/>
      <c r="E1" s="788"/>
      <c r="F1" s="788"/>
      <c r="G1" s="788"/>
      <c r="H1" s="788"/>
      <c r="I1" s="788"/>
    </row>
    <row r="2" spans="1:9" x14ac:dyDescent="0.25">
      <c r="A2" s="788" t="s">
        <v>226</v>
      </c>
      <c r="B2" s="788"/>
      <c r="C2" s="788"/>
      <c r="D2" s="788"/>
      <c r="E2" s="788"/>
      <c r="F2" s="788"/>
      <c r="G2" s="788"/>
      <c r="H2" s="788"/>
      <c r="I2" s="788"/>
    </row>
    <row r="3" spans="1:9" ht="6.75" customHeight="1" x14ac:dyDescent="0.25">
      <c r="A3" s="142"/>
      <c r="B3" s="143"/>
      <c r="C3" s="143"/>
      <c r="D3" s="143"/>
      <c r="E3" s="143"/>
      <c r="F3" s="143"/>
      <c r="G3" s="143"/>
      <c r="H3" s="143"/>
      <c r="I3" s="143"/>
    </row>
    <row r="4" spans="1:9" x14ac:dyDescent="0.25">
      <c r="A4" s="144"/>
      <c r="B4" s="144"/>
      <c r="C4" s="144"/>
      <c r="D4" s="144"/>
      <c r="E4" s="144"/>
      <c r="F4" s="144"/>
      <c r="G4" s="144"/>
      <c r="H4" s="144"/>
      <c r="I4" s="144"/>
    </row>
    <row r="5" spans="1:9" x14ac:dyDescent="0.25">
      <c r="A5" s="145" t="s">
        <v>119</v>
      </c>
      <c r="B5" s="789"/>
      <c r="C5" s="789"/>
      <c r="D5" s="789"/>
      <c r="E5" s="143"/>
      <c r="F5" s="154" t="s">
        <v>52</v>
      </c>
      <c r="G5" s="790"/>
      <c r="H5" s="790"/>
      <c r="I5" s="148"/>
    </row>
    <row r="6" spans="1:9" x14ac:dyDescent="0.25">
      <c r="A6" s="145"/>
      <c r="B6" s="145"/>
      <c r="C6" s="143"/>
      <c r="D6" s="143"/>
      <c r="E6" s="143"/>
      <c r="F6" s="143"/>
      <c r="G6" s="143"/>
      <c r="H6" s="147"/>
      <c r="I6" s="143"/>
    </row>
    <row r="7" spans="1:9" ht="15.75" thickBot="1" x14ac:dyDescent="0.3">
      <c r="A7" s="306"/>
      <c r="B7" s="149"/>
      <c r="C7" s="306"/>
      <c r="D7" s="306"/>
      <c r="E7" s="306"/>
      <c r="F7" s="306"/>
      <c r="G7" s="306"/>
      <c r="H7" s="306"/>
      <c r="I7" s="149"/>
    </row>
    <row r="8" spans="1:9" ht="13.5" customHeight="1" x14ac:dyDescent="0.25">
      <c r="A8" s="307"/>
      <c r="B8" s="307"/>
      <c r="C8" s="307"/>
      <c r="D8" s="307"/>
      <c r="E8" s="307"/>
      <c r="F8" s="307"/>
      <c r="G8" s="791" t="s">
        <v>248</v>
      </c>
      <c r="H8" s="791"/>
      <c r="I8" s="791"/>
    </row>
    <row r="9" spans="1:9" x14ac:dyDescent="0.25">
      <c r="A9" s="787" t="s">
        <v>135</v>
      </c>
      <c r="B9" s="787"/>
      <c r="C9" s="308" t="s">
        <v>14</v>
      </c>
      <c r="D9" s="308" t="s">
        <v>42</v>
      </c>
      <c r="E9" s="308" t="s">
        <v>44</v>
      </c>
      <c r="F9" s="308"/>
      <c r="G9" s="155">
        <v>2017</v>
      </c>
      <c r="H9" s="155">
        <v>2018</v>
      </c>
      <c r="I9" s="155">
        <v>2019</v>
      </c>
    </row>
    <row r="10" spans="1:9" ht="7.5" customHeight="1" x14ac:dyDescent="0.25">
      <c r="A10" s="309"/>
      <c r="B10" s="309"/>
      <c r="C10" s="309"/>
      <c r="D10" s="309"/>
      <c r="E10" s="309"/>
      <c r="F10" s="309"/>
      <c r="G10" s="150"/>
      <c r="H10" s="150"/>
      <c r="I10" s="150"/>
    </row>
    <row r="11" spans="1:9" x14ac:dyDescent="0.25">
      <c r="A11" s="158" t="s">
        <v>233</v>
      </c>
      <c r="B11" s="161"/>
      <c r="C11" s="162"/>
      <c r="D11" s="162"/>
      <c r="E11" s="162"/>
      <c r="F11" s="163"/>
      <c r="G11" s="164"/>
      <c r="H11" s="164"/>
      <c r="I11" s="164"/>
    </row>
    <row r="12" spans="1:9" x14ac:dyDescent="0.25">
      <c r="A12" s="159"/>
      <c r="B12" s="165"/>
      <c r="C12" s="162"/>
      <c r="D12" s="162"/>
      <c r="E12" s="162"/>
      <c r="F12" s="163"/>
      <c r="G12" s="164"/>
      <c r="H12" s="164"/>
      <c r="I12" s="164"/>
    </row>
    <row r="13" spans="1:9" x14ac:dyDescent="0.25">
      <c r="A13" s="159"/>
      <c r="B13" s="161"/>
      <c r="C13" s="166"/>
      <c r="D13" s="166"/>
      <c r="E13" s="166"/>
      <c r="F13" s="167"/>
      <c r="G13" s="164"/>
      <c r="H13" s="164"/>
      <c r="I13" s="164"/>
    </row>
    <row r="14" spans="1:9" x14ac:dyDescent="0.25">
      <c r="A14" s="158" t="s">
        <v>120</v>
      </c>
      <c r="B14" s="168"/>
      <c r="C14" s="166"/>
      <c r="D14" s="166"/>
      <c r="E14" s="166"/>
      <c r="F14" s="167"/>
      <c r="G14" s="164"/>
      <c r="H14" s="164"/>
      <c r="I14" s="164"/>
    </row>
    <row r="15" spans="1:9" x14ac:dyDescent="0.25">
      <c r="A15" s="310"/>
      <c r="B15" s="161"/>
      <c r="C15" s="162"/>
      <c r="D15" s="162"/>
      <c r="E15" s="166"/>
      <c r="F15" s="163"/>
      <c r="G15" s="164"/>
      <c r="H15" s="164"/>
      <c r="I15" s="164"/>
    </row>
    <row r="16" spans="1:9" x14ac:dyDescent="0.25">
      <c r="A16" s="159" t="s">
        <v>232</v>
      </c>
      <c r="B16" s="168"/>
      <c r="C16" s="162"/>
      <c r="D16" s="162"/>
      <c r="E16" s="166"/>
      <c r="F16" s="163"/>
      <c r="G16" s="164"/>
      <c r="H16" s="164"/>
      <c r="I16" s="164"/>
    </row>
    <row r="17" spans="1:9" x14ac:dyDescent="0.25">
      <c r="A17" s="310"/>
      <c r="B17" s="161"/>
      <c r="C17" s="166"/>
      <c r="D17" s="166"/>
      <c r="E17" s="166"/>
      <c r="F17" s="167"/>
      <c r="G17" s="164"/>
      <c r="H17" s="164"/>
      <c r="I17" s="164"/>
    </row>
    <row r="18" spans="1:9" x14ac:dyDescent="0.25">
      <c r="A18" s="158" t="s">
        <v>231</v>
      </c>
      <c r="B18" s="161"/>
      <c r="C18" s="166"/>
      <c r="D18" s="162"/>
      <c r="E18" s="166"/>
      <c r="F18" s="163"/>
      <c r="G18" s="164"/>
      <c r="H18" s="164"/>
      <c r="I18" s="164"/>
    </row>
    <row r="19" spans="1:9" x14ac:dyDescent="0.25">
      <c r="A19" s="310"/>
      <c r="B19" s="165"/>
      <c r="C19" s="162"/>
      <c r="D19" s="162"/>
      <c r="E19" s="162"/>
      <c r="F19" s="163"/>
      <c r="G19" s="164"/>
      <c r="H19" s="164"/>
      <c r="I19" s="164"/>
    </row>
    <row r="20" spans="1:9" x14ac:dyDescent="0.25">
      <c r="A20" s="158" t="s">
        <v>121</v>
      </c>
      <c r="B20" s="169"/>
      <c r="C20" s="166"/>
      <c r="D20" s="162"/>
      <c r="E20" s="166"/>
      <c r="F20" s="163"/>
      <c r="G20" s="164"/>
      <c r="H20" s="164"/>
      <c r="I20" s="164"/>
    </row>
    <row r="21" spans="1:9" x14ac:dyDescent="0.25">
      <c r="A21" s="159"/>
      <c r="B21" s="168"/>
      <c r="C21" s="166"/>
      <c r="D21" s="166"/>
      <c r="E21" s="166"/>
      <c r="F21" s="167"/>
      <c r="G21" s="164"/>
      <c r="H21" s="164"/>
      <c r="I21" s="164"/>
    </row>
    <row r="22" spans="1:9" x14ac:dyDescent="0.25">
      <c r="A22" s="158" t="s">
        <v>122</v>
      </c>
      <c r="B22" s="165"/>
      <c r="C22" s="166"/>
      <c r="D22" s="162"/>
      <c r="E22" s="166"/>
      <c r="F22" s="163"/>
      <c r="G22" s="164"/>
      <c r="H22" s="164"/>
      <c r="I22" s="164"/>
    </row>
    <row r="23" spans="1:9" x14ac:dyDescent="0.25">
      <c r="A23" s="159"/>
      <c r="B23" s="161"/>
      <c r="C23" s="166"/>
      <c r="D23" s="166"/>
      <c r="E23" s="166"/>
      <c r="F23" s="167"/>
      <c r="G23" s="164"/>
      <c r="H23" s="164"/>
      <c r="I23" s="164"/>
    </row>
    <row r="24" spans="1:9" x14ac:dyDescent="0.25">
      <c r="A24" s="158" t="s">
        <v>230</v>
      </c>
      <c r="B24" s="169"/>
      <c r="C24" s="162"/>
      <c r="D24" s="162"/>
      <c r="E24" s="166"/>
      <c r="F24" s="163"/>
      <c r="G24" s="164"/>
      <c r="H24" s="164"/>
      <c r="I24" s="164"/>
    </row>
    <row r="25" spans="1:9" x14ac:dyDescent="0.25">
      <c r="A25" s="310"/>
      <c r="B25" s="161"/>
      <c r="C25" s="166"/>
      <c r="D25" s="162"/>
      <c r="E25" s="166"/>
      <c r="F25" s="163"/>
      <c r="G25" s="164"/>
      <c r="H25" s="164"/>
      <c r="I25" s="164"/>
    </row>
    <row r="26" spans="1:9" x14ac:dyDescent="0.25">
      <c r="A26" s="158" t="s">
        <v>235</v>
      </c>
      <c r="B26" s="161"/>
      <c r="C26" s="166"/>
      <c r="D26" s="162"/>
      <c r="E26" s="166"/>
      <c r="F26" s="163"/>
      <c r="G26" s="164"/>
      <c r="H26" s="164"/>
      <c r="I26" s="164"/>
    </row>
    <row r="27" spans="1:9" x14ac:dyDescent="0.25">
      <c r="A27" s="159"/>
      <c r="B27" s="168"/>
      <c r="C27" s="166"/>
      <c r="D27" s="166"/>
      <c r="E27" s="166"/>
      <c r="F27" s="167"/>
      <c r="G27" s="164"/>
      <c r="H27" s="164"/>
      <c r="I27" s="164"/>
    </row>
    <row r="28" spans="1:9" x14ac:dyDescent="0.25">
      <c r="A28" s="158" t="s">
        <v>234</v>
      </c>
      <c r="B28" s="161"/>
      <c r="C28" s="162"/>
      <c r="D28" s="166"/>
      <c r="E28" s="162"/>
      <c r="F28" s="163"/>
      <c r="G28" s="164"/>
      <c r="H28" s="164"/>
      <c r="I28" s="164"/>
    </row>
    <row r="29" spans="1:9" x14ac:dyDescent="0.25">
      <c r="A29" s="158"/>
      <c r="B29" s="161"/>
      <c r="C29" s="162"/>
      <c r="D29" s="166"/>
      <c r="E29" s="162"/>
      <c r="F29" s="163"/>
      <c r="G29" s="164"/>
      <c r="H29" s="164"/>
      <c r="I29" s="164"/>
    </row>
    <row r="30" spans="1:9" x14ac:dyDescent="0.25">
      <c r="A30" s="158" t="s">
        <v>228</v>
      </c>
      <c r="B30" s="168"/>
      <c r="C30" s="166"/>
      <c r="D30" s="166"/>
      <c r="E30" s="166"/>
      <c r="F30" s="167"/>
      <c r="G30" s="164"/>
      <c r="H30" s="164"/>
      <c r="I30" s="164"/>
    </row>
    <row r="31" spans="1:9" x14ac:dyDescent="0.25">
      <c r="A31" s="310"/>
      <c r="B31" s="161"/>
      <c r="C31" s="166"/>
      <c r="D31" s="162"/>
      <c r="E31" s="162"/>
      <c r="F31" s="167"/>
      <c r="G31" s="164"/>
      <c r="H31" s="164"/>
      <c r="I31" s="164"/>
    </row>
    <row r="32" spans="1:9" x14ac:dyDescent="0.25">
      <c r="A32" s="158" t="s">
        <v>229</v>
      </c>
      <c r="B32" s="168"/>
      <c r="C32" s="162"/>
      <c r="D32" s="162"/>
      <c r="E32" s="162"/>
      <c r="F32" s="167"/>
      <c r="G32" s="164"/>
      <c r="H32" s="164"/>
      <c r="I32" s="164"/>
    </row>
    <row r="33" spans="1:9" x14ac:dyDescent="0.25">
      <c r="A33" s="310"/>
      <c r="B33" s="168"/>
      <c r="C33" s="166"/>
      <c r="D33" s="166"/>
      <c r="E33" s="166"/>
      <c r="F33" s="167"/>
      <c r="G33" s="164"/>
      <c r="H33" s="164"/>
      <c r="I33" s="164"/>
    </row>
    <row r="34" spans="1:9" x14ac:dyDescent="0.25">
      <c r="A34" s="158" t="s">
        <v>227</v>
      </c>
      <c r="B34" s="161"/>
      <c r="C34" s="162"/>
      <c r="D34" s="162"/>
      <c r="E34" s="166"/>
      <c r="F34" s="167"/>
      <c r="G34" s="164"/>
      <c r="H34" s="164"/>
      <c r="I34" s="164"/>
    </row>
    <row r="35" spans="1:9" x14ac:dyDescent="0.25">
      <c r="A35" s="310"/>
      <c r="B35" s="161"/>
      <c r="C35" s="166"/>
      <c r="D35" s="166"/>
      <c r="E35" s="166"/>
      <c r="F35" s="167"/>
      <c r="G35" s="164"/>
      <c r="H35" s="164"/>
      <c r="I35" s="164"/>
    </row>
    <row r="36" spans="1:9" x14ac:dyDescent="0.25">
      <c r="A36" s="158" t="s">
        <v>212</v>
      </c>
      <c r="B36" s="165"/>
      <c r="C36" s="166"/>
      <c r="D36" s="166"/>
      <c r="E36" s="162"/>
      <c r="F36" s="167"/>
      <c r="G36" s="164"/>
      <c r="H36" s="164"/>
      <c r="I36" s="164"/>
    </row>
    <row r="37" spans="1:9" x14ac:dyDescent="0.25">
      <c r="A37" s="158"/>
      <c r="B37" s="165"/>
      <c r="C37" s="166"/>
      <c r="D37" s="166"/>
      <c r="E37" s="162"/>
      <c r="F37" s="167"/>
      <c r="G37" s="164"/>
      <c r="H37" s="164"/>
      <c r="I37" s="164"/>
    </row>
    <row r="38" spans="1:9" x14ac:dyDescent="0.25">
      <c r="A38" s="158"/>
      <c r="B38" s="165"/>
      <c r="C38" s="166"/>
      <c r="D38" s="166"/>
      <c r="E38" s="162"/>
      <c r="F38" s="167"/>
      <c r="G38" s="164"/>
      <c r="H38" s="164"/>
      <c r="I38" s="164"/>
    </row>
    <row r="39" spans="1:9" x14ac:dyDescent="0.25">
      <c r="A39" s="158"/>
      <c r="B39" s="165"/>
      <c r="C39" s="166"/>
      <c r="D39" s="166"/>
      <c r="E39" s="162"/>
      <c r="F39" s="167"/>
      <c r="G39" s="164"/>
      <c r="H39" s="164"/>
      <c r="I39" s="164"/>
    </row>
    <row r="40" spans="1:9" x14ac:dyDescent="0.25">
      <c r="A40" s="158"/>
      <c r="B40" s="165"/>
      <c r="C40" s="166"/>
      <c r="D40" s="166"/>
      <c r="E40" s="162"/>
      <c r="F40" s="167"/>
      <c r="G40" s="164"/>
      <c r="H40" s="164"/>
      <c r="I40" s="164"/>
    </row>
    <row r="41" spans="1:9" x14ac:dyDescent="0.25">
      <c r="A41" s="158"/>
      <c r="B41" s="165"/>
      <c r="C41" s="166"/>
      <c r="D41" s="166"/>
      <c r="E41" s="162"/>
      <c r="F41" s="167"/>
      <c r="G41" s="164"/>
      <c r="H41" s="164"/>
      <c r="I41" s="164"/>
    </row>
    <row r="42" spans="1:9" x14ac:dyDescent="0.25">
      <c r="A42" s="158"/>
      <c r="B42" s="161"/>
      <c r="C42" s="162"/>
      <c r="D42" s="166"/>
      <c r="E42" s="162"/>
      <c r="F42" s="167"/>
      <c r="G42" s="164"/>
      <c r="H42" s="164"/>
      <c r="I42" s="164"/>
    </row>
    <row r="43" spans="1:9" x14ac:dyDescent="0.25">
      <c r="A43" s="160"/>
      <c r="B43" s="170"/>
      <c r="C43" s="171"/>
      <c r="D43" s="171"/>
      <c r="E43" s="171"/>
      <c r="F43" s="172"/>
      <c r="G43" s="173"/>
      <c r="H43" s="173"/>
      <c r="I43" s="174"/>
    </row>
    <row r="44" spans="1:9" ht="15.75" thickBot="1" x14ac:dyDescent="0.3">
      <c r="A44" s="311"/>
      <c r="B44" s="311"/>
      <c r="C44" s="311"/>
      <c r="D44" s="311"/>
      <c r="E44" s="312" t="s">
        <v>236</v>
      </c>
      <c r="F44" s="313"/>
      <c r="G44" s="314">
        <f>SUM(G11:G43)</f>
        <v>0</v>
      </c>
      <c r="H44" s="314">
        <f>SUM(H11:H43)</f>
        <v>0</v>
      </c>
      <c r="I44" s="175">
        <f>SUM(I11:I43)</f>
        <v>0</v>
      </c>
    </row>
    <row r="45" spans="1:9" ht="15.75" thickTop="1" x14ac:dyDescent="0.25">
      <c r="A45" s="157"/>
      <c r="B45" s="157"/>
      <c r="C45" s="157"/>
      <c r="D45" s="157"/>
      <c r="E45" s="157"/>
      <c r="F45" s="157"/>
      <c r="G45" s="315"/>
      <c r="H45" s="315"/>
      <c r="I45" s="143"/>
    </row>
    <row r="46" spans="1:9" x14ac:dyDescent="0.25">
      <c r="A46" s="179"/>
      <c r="B46" s="179"/>
      <c r="C46" s="179"/>
      <c r="D46" s="179"/>
      <c r="E46" s="179"/>
      <c r="F46" s="179"/>
      <c r="G46" s="179"/>
      <c r="H46" s="179"/>
      <c r="I46" s="143"/>
    </row>
    <row r="47" spans="1:9" x14ac:dyDescent="0.25">
      <c r="A47" s="156" t="s">
        <v>123</v>
      </c>
      <c r="B47" s="307"/>
      <c r="C47" s="307"/>
      <c r="D47" s="307"/>
      <c r="E47" s="307"/>
      <c r="F47" s="307"/>
      <c r="G47" s="307"/>
      <c r="H47" s="307"/>
      <c r="I47" s="307"/>
    </row>
    <row r="48" spans="1:9" x14ac:dyDescent="0.25">
      <c r="A48" s="156" t="s">
        <v>237</v>
      </c>
      <c r="B48" s="143"/>
      <c r="C48" s="143"/>
      <c r="D48" s="143"/>
      <c r="E48" s="143"/>
      <c r="F48" s="143"/>
      <c r="G48" s="316"/>
      <c r="H48" s="316"/>
      <c r="I48" s="143"/>
    </row>
    <row r="49" spans="1:9" x14ac:dyDescent="0.25">
      <c r="A49" s="317"/>
      <c r="B49" s="143"/>
      <c r="C49" s="143"/>
      <c r="D49" s="143"/>
      <c r="E49" s="143"/>
      <c r="F49" s="316"/>
      <c r="G49" s="316"/>
      <c r="H49" s="316"/>
      <c r="I49" s="143"/>
    </row>
    <row r="50" spans="1:9" x14ac:dyDescent="0.25">
      <c r="A50" s="318" t="s">
        <v>124</v>
      </c>
      <c r="B50" s="146"/>
      <c r="C50" s="150"/>
      <c r="D50" s="150"/>
      <c r="E50" s="150"/>
      <c r="F50" s="319"/>
      <c r="G50" s="316"/>
      <c r="H50" s="316"/>
      <c r="I50" s="143"/>
    </row>
    <row r="51" spans="1:9" x14ac:dyDescent="0.25">
      <c r="A51" s="143"/>
      <c r="B51" s="143"/>
      <c r="C51" s="142"/>
      <c r="D51" s="151"/>
      <c r="E51" s="151"/>
      <c r="F51" s="152"/>
      <c r="G51" s="152"/>
      <c r="H51" s="152"/>
      <c r="I51" s="143"/>
    </row>
    <row r="52" spans="1:9" x14ac:dyDescent="0.25">
      <c r="A52" s="143"/>
      <c r="B52" s="143"/>
      <c r="C52" s="143"/>
      <c r="D52" s="151"/>
      <c r="E52" s="151"/>
      <c r="F52" s="152"/>
      <c r="G52" s="152"/>
      <c r="H52" s="152"/>
      <c r="I52" s="144"/>
    </row>
    <row r="53" spans="1:9" x14ac:dyDescent="0.25">
      <c r="B53" s="143"/>
      <c r="C53" s="143"/>
      <c r="D53" s="143"/>
      <c r="E53" s="152"/>
      <c r="F53" s="152"/>
      <c r="G53" s="152"/>
      <c r="H53" s="152"/>
      <c r="I53" s="144"/>
    </row>
    <row r="54" spans="1:9" x14ac:dyDescent="0.25">
      <c r="A54" s="153"/>
      <c r="B54" s="151"/>
      <c r="C54" s="151"/>
      <c r="D54" s="151"/>
      <c r="E54" s="152"/>
      <c r="F54" s="152"/>
      <c r="G54" s="152"/>
      <c r="H54" s="152"/>
      <c r="I54" s="144"/>
    </row>
  </sheetData>
  <mergeCells count="6">
    <mergeCell ref="A9:B9"/>
    <mergeCell ref="A1:I1"/>
    <mergeCell ref="A2:I2"/>
    <mergeCell ref="B5:D5"/>
    <mergeCell ref="G5:H5"/>
    <mergeCell ref="G8:I8"/>
  </mergeCells>
  <printOptions horizontalCentered="1"/>
  <pageMargins left="0.25" right="0.25" top="0.5" bottom="0.5" header="0.25" footer="0.25"/>
  <pageSetup paperSize="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80"/>
  <sheetViews>
    <sheetView view="pageLayout" zoomScaleNormal="100" workbookViewId="0">
      <selection activeCell="N76" sqref="N76"/>
    </sheetView>
  </sheetViews>
  <sheetFormatPr defaultRowHeight="15" x14ac:dyDescent="0.25"/>
  <cols>
    <col min="1" max="1" width="11" customWidth="1"/>
    <col min="2" max="2" width="7.42578125" customWidth="1"/>
    <col min="3" max="3" width="1" customWidth="1"/>
    <col min="4" max="4" width="21.5703125" customWidth="1"/>
    <col min="5" max="5" width="1.42578125" customWidth="1"/>
    <col min="6" max="6" width="9.28515625" customWidth="1"/>
    <col min="7" max="7" width="1.28515625" customWidth="1"/>
    <col min="8" max="8" width="7.28515625" customWidth="1"/>
    <col min="9" max="9" width="4.85546875" customWidth="1"/>
    <col min="10" max="10" width="11.28515625" customWidth="1"/>
    <col min="11" max="11" width="5.140625" customWidth="1"/>
    <col min="12" max="12" width="11.28515625" customWidth="1"/>
    <col min="13" max="13" width="5.5703125" customWidth="1"/>
    <col min="14" max="14" width="13.42578125" customWidth="1"/>
  </cols>
  <sheetData>
    <row r="1" spans="1:14" x14ac:dyDescent="0.25">
      <c r="A1" s="792" t="s">
        <v>202</v>
      </c>
      <c r="B1" s="792"/>
      <c r="C1" s="792"/>
      <c r="D1" s="792"/>
      <c r="E1" s="792"/>
      <c r="F1" s="792"/>
      <c r="G1" s="792"/>
      <c r="H1" s="792"/>
      <c r="I1" s="792"/>
      <c r="J1" s="792"/>
      <c r="K1" s="792"/>
      <c r="L1" s="792"/>
      <c r="M1" s="792"/>
      <c r="N1" s="792"/>
    </row>
    <row r="2" spans="1:14" x14ac:dyDescent="0.25">
      <c r="A2" s="792" t="s">
        <v>238</v>
      </c>
      <c r="B2" s="792"/>
      <c r="C2" s="792"/>
      <c r="D2" s="792"/>
      <c r="E2" s="792"/>
      <c r="F2" s="792"/>
      <c r="G2" s="792"/>
      <c r="H2" s="792"/>
      <c r="I2" s="792"/>
      <c r="J2" s="792"/>
      <c r="K2" s="792"/>
      <c r="L2" s="792"/>
      <c r="M2" s="792"/>
      <c r="N2" s="792"/>
    </row>
    <row r="3" spans="1:14" x14ac:dyDescent="0.25">
      <c r="A3" s="176"/>
      <c r="B3" s="176"/>
      <c r="C3" s="176"/>
      <c r="D3" s="176"/>
      <c r="E3" s="176"/>
      <c r="F3" s="143"/>
      <c r="G3" s="143"/>
      <c r="H3" s="143"/>
      <c r="I3" s="143"/>
      <c r="J3" s="176"/>
      <c r="K3" s="176"/>
      <c r="L3" s="176"/>
      <c r="M3" s="176"/>
      <c r="N3" s="176"/>
    </row>
    <row r="4" spans="1:14" x14ac:dyDescent="0.25">
      <c r="A4" s="177" t="s">
        <v>239</v>
      </c>
      <c r="B4" s="795"/>
      <c r="C4" s="795"/>
      <c r="D4" s="795"/>
      <c r="E4" s="178"/>
      <c r="F4" s="793" t="s">
        <v>240</v>
      </c>
      <c r="G4" s="793"/>
      <c r="H4" s="793"/>
      <c r="I4" s="794"/>
      <c r="J4" s="794"/>
      <c r="K4" s="178"/>
      <c r="L4" s="227" t="s">
        <v>241</v>
      </c>
      <c r="M4" s="796" t="s">
        <v>274</v>
      </c>
      <c r="N4" s="796"/>
    </row>
    <row r="5" spans="1:14" ht="12.95" customHeight="1" x14ac:dyDescent="0.25">
      <c r="A5" s="156"/>
      <c r="B5" s="157"/>
      <c r="C5" s="157"/>
      <c r="D5" s="157"/>
      <c r="E5" s="157"/>
      <c r="F5" s="143"/>
      <c r="G5" s="143"/>
      <c r="H5" s="143"/>
      <c r="I5" s="143"/>
      <c r="J5" s="143"/>
      <c r="K5" s="179"/>
      <c r="L5" s="156"/>
      <c r="M5" s="156"/>
      <c r="N5" s="180"/>
    </row>
    <row r="6" spans="1:14" s="186" customFormat="1" ht="12.95" customHeight="1" x14ac:dyDescent="0.25">
      <c r="A6" s="182"/>
      <c r="B6" s="182"/>
      <c r="C6" s="182"/>
      <c r="D6" s="182"/>
      <c r="E6" s="182"/>
      <c r="F6" s="183"/>
      <c r="G6" s="183"/>
      <c r="H6" s="183"/>
      <c r="I6" s="183"/>
      <c r="J6" s="184" t="s">
        <v>125</v>
      </c>
      <c r="K6" s="184"/>
      <c r="L6" s="184" t="s">
        <v>126</v>
      </c>
      <c r="M6" s="184"/>
      <c r="N6" s="184" t="s">
        <v>127</v>
      </c>
    </row>
    <row r="7" spans="1:14" s="186" customFormat="1" ht="12.95" customHeight="1" x14ac:dyDescent="0.25">
      <c r="A7" s="182"/>
      <c r="B7" s="182"/>
      <c r="C7" s="182"/>
      <c r="D7" s="182"/>
      <c r="E7" s="182"/>
      <c r="F7" s="183"/>
      <c r="G7" s="183"/>
      <c r="H7" s="183"/>
      <c r="I7" s="183"/>
      <c r="J7" s="184" t="s">
        <v>128</v>
      </c>
      <c r="K7" s="184"/>
      <c r="L7" s="184" t="s">
        <v>129</v>
      </c>
      <c r="M7" s="184"/>
      <c r="N7" s="184" t="s">
        <v>128</v>
      </c>
    </row>
    <row r="8" spans="1:14" s="186" customFormat="1" ht="12.95" customHeight="1" x14ac:dyDescent="0.25">
      <c r="A8" s="183"/>
      <c r="B8" s="183"/>
      <c r="C8" s="183"/>
      <c r="D8" s="183"/>
      <c r="E8" s="183"/>
      <c r="F8" s="183"/>
      <c r="G8" s="183"/>
      <c r="H8" s="183"/>
      <c r="I8" s="183"/>
      <c r="J8" s="181" t="s">
        <v>130</v>
      </c>
      <c r="K8" s="181"/>
      <c r="L8" s="181" t="s">
        <v>131</v>
      </c>
      <c r="M8" s="181"/>
      <c r="N8" s="181" t="s">
        <v>130</v>
      </c>
    </row>
    <row r="9" spans="1:14" s="186" customFormat="1" ht="12.95" customHeight="1" thickBot="1" x14ac:dyDescent="0.3">
      <c r="A9" s="187" t="s">
        <v>132</v>
      </c>
      <c r="B9" s="182"/>
      <c r="C9" s="182"/>
      <c r="D9" s="182"/>
      <c r="E9" s="182"/>
      <c r="F9" s="183"/>
      <c r="G9" s="183"/>
      <c r="H9" s="183"/>
      <c r="I9" s="183"/>
      <c r="J9" s="188">
        <v>0</v>
      </c>
      <c r="K9" s="189"/>
      <c r="L9" s="260">
        <v>1</v>
      </c>
      <c r="M9" s="190"/>
      <c r="N9" s="246">
        <f>J9*L9</f>
        <v>0</v>
      </c>
    </row>
    <row r="10" spans="1:14" s="186" customFormat="1" ht="12.95" customHeight="1" x14ac:dyDescent="0.25">
      <c r="A10" s="183"/>
      <c r="B10" s="182"/>
      <c r="C10" s="182"/>
      <c r="D10" s="182"/>
      <c r="E10" s="182"/>
      <c r="F10" s="183"/>
      <c r="G10" s="183"/>
      <c r="H10" s="183"/>
      <c r="I10" s="183"/>
      <c r="J10" s="191"/>
      <c r="K10" s="192"/>
      <c r="L10" s="193"/>
      <c r="M10" s="192"/>
      <c r="N10" s="269"/>
    </row>
    <row r="11" spans="1:14" s="186" customFormat="1" ht="12.95" customHeight="1" thickBot="1" x14ac:dyDescent="0.3">
      <c r="A11" s="187" t="s">
        <v>133</v>
      </c>
      <c r="B11" s="182"/>
      <c r="C11" s="182"/>
      <c r="D11" s="182"/>
      <c r="E11" s="182"/>
      <c r="F11" s="183"/>
      <c r="G11" s="183"/>
      <c r="H11" s="183"/>
      <c r="I11" s="183"/>
      <c r="J11" s="188">
        <v>0</v>
      </c>
      <c r="K11" s="194"/>
      <c r="L11" s="260">
        <v>0.9</v>
      </c>
      <c r="M11" s="195"/>
      <c r="N11" s="246">
        <f>J11*L11</f>
        <v>0</v>
      </c>
    </row>
    <row r="12" spans="1:14" s="186" customFormat="1" ht="12.95" customHeight="1" x14ac:dyDescent="0.25">
      <c r="A12" s="187"/>
      <c r="B12" s="182"/>
      <c r="C12" s="182"/>
      <c r="D12" s="182"/>
      <c r="E12" s="182"/>
      <c r="F12" s="183"/>
      <c r="G12" s="183"/>
      <c r="H12" s="183"/>
      <c r="I12" s="183"/>
      <c r="J12" s="196"/>
      <c r="K12" s="194"/>
      <c r="L12" s="261"/>
      <c r="M12" s="195"/>
      <c r="N12" s="248"/>
    </row>
    <row r="13" spans="1:14" s="186" customFormat="1" ht="12.95" customHeight="1" x14ac:dyDescent="0.25">
      <c r="A13" s="187" t="s">
        <v>134</v>
      </c>
      <c r="B13" s="273" t="s">
        <v>33</v>
      </c>
      <c r="C13" s="199"/>
      <c r="D13" s="198" t="s">
        <v>135</v>
      </c>
      <c r="E13" s="199"/>
      <c r="F13" s="273" t="s">
        <v>9</v>
      </c>
      <c r="G13" s="199"/>
      <c r="I13" s="182"/>
      <c r="J13" s="200"/>
      <c r="K13" s="201"/>
      <c r="L13" s="262"/>
      <c r="M13" s="190"/>
      <c r="N13" s="247"/>
    </row>
    <row r="14" spans="1:14" s="186" customFormat="1" ht="12.95" customHeight="1" thickBot="1" x14ac:dyDescent="0.3">
      <c r="A14" s="203" t="s">
        <v>137</v>
      </c>
      <c r="B14" s="231"/>
      <c r="C14" s="232"/>
      <c r="D14" s="238"/>
      <c r="E14" s="232"/>
      <c r="F14" s="229"/>
      <c r="G14" s="182"/>
      <c r="I14" s="182"/>
      <c r="J14" s="246">
        <f>B14*F14</f>
        <v>0</v>
      </c>
      <c r="K14" s="201"/>
      <c r="L14" s="260">
        <v>0.85</v>
      </c>
      <c r="M14" s="190"/>
      <c r="N14" s="246">
        <f t="shared" ref="N14:N18" si="0">J14*L14</f>
        <v>0</v>
      </c>
    </row>
    <row r="15" spans="1:14" s="186" customFormat="1" ht="12.95" customHeight="1" thickBot="1" x14ac:dyDescent="0.3">
      <c r="A15" s="204"/>
      <c r="B15" s="231"/>
      <c r="C15" s="232"/>
      <c r="D15" s="239"/>
      <c r="E15" s="232"/>
      <c r="F15" s="230"/>
      <c r="G15" s="182"/>
      <c r="I15" s="204"/>
      <c r="J15" s="246">
        <f>B15*F15</f>
        <v>0</v>
      </c>
      <c r="K15" s="206"/>
      <c r="L15" s="260">
        <v>0.85</v>
      </c>
      <c r="M15" s="207"/>
      <c r="N15" s="246">
        <f t="shared" si="0"/>
        <v>0</v>
      </c>
    </row>
    <row r="16" spans="1:14" s="186" customFormat="1" ht="12.95" customHeight="1" thickBot="1" x14ac:dyDescent="0.3">
      <c r="A16" s="208"/>
      <c r="B16" s="231"/>
      <c r="C16" s="232"/>
      <c r="D16" s="239"/>
      <c r="E16" s="232"/>
      <c r="F16" s="230"/>
      <c r="G16" s="182"/>
      <c r="I16" s="208"/>
      <c r="J16" s="246">
        <f>B16*F16</f>
        <v>0</v>
      </c>
      <c r="K16" s="201"/>
      <c r="L16" s="260">
        <v>0.85</v>
      </c>
      <c r="M16" s="190"/>
      <c r="N16" s="246">
        <f t="shared" si="0"/>
        <v>0</v>
      </c>
    </row>
    <row r="17" spans="1:14" s="186" customFormat="1" ht="12.95" customHeight="1" thickBot="1" x14ac:dyDescent="0.3">
      <c r="A17" s="204"/>
      <c r="B17" s="237"/>
      <c r="C17" s="234"/>
      <c r="D17" s="240"/>
      <c r="E17" s="234"/>
      <c r="F17" s="229"/>
      <c r="G17" s="199"/>
      <c r="I17" s="204"/>
      <c r="J17" s="246">
        <f>B17*F17</f>
        <v>0</v>
      </c>
      <c r="K17" s="206"/>
      <c r="L17" s="260">
        <v>0.85</v>
      </c>
      <c r="M17" s="207"/>
      <c r="N17" s="246">
        <f t="shared" si="0"/>
        <v>0</v>
      </c>
    </row>
    <row r="18" spans="1:14" s="186" customFormat="1" ht="12.95" customHeight="1" thickBot="1" x14ac:dyDescent="0.3">
      <c r="A18" s="182"/>
      <c r="B18" s="274"/>
      <c r="C18" s="182"/>
      <c r="D18" s="275"/>
      <c r="E18" s="182"/>
      <c r="F18" s="274"/>
      <c r="G18" s="182"/>
      <c r="I18" s="182"/>
      <c r="J18" s="246">
        <f>B18*F18</f>
        <v>0</v>
      </c>
      <c r="K18" s="201"/>
      <c r="L18" s="263">
        <v>0.85</v>
      </c>
      <c r="M18" s="190"/>
      <c r="N18" s="254">
        <f t="shared" si="0"/>
        <v>0</v>
      </c>
    </row>
    <row r="19" spans="1:14" s="186" customFormat="1" ht="12.95" customHeight="1" x14ac:dyDescent="0.25">
      <c r="A19" s="187" t="s">
        <v>134</v>
      </c>
      <c r="B19" s="273" t="s">
        <v>54</v>
      </c>
      <c r="C19" s="199"/>
      <c r="D19" s="242" t="s">
        <v>135</v>
      </c>
      <c r="E19" s="199"/>
      <c r="F19" s="273" t="s">
        <v>136</v>
      </c>
      <c r="G19" s="199"/>
      <c r="H19" s="273" t="s">
        <v>56</v>
      </c>
      <c r="I19" s="183"/>
      <c r="J19" s="247"/>
      <c r="K19" s="201"/>
      <c r="L19" s="262"/>
      <c r="M19" s="190"/>
      <c r="N19" s="247"/>
    </row>
    <row r="20" spans="1:14" s="186" customFormat="1" ht="12.95" customHeight="1" thickBot="1" x14ac:dyDescent="0.3">
      <c r="A20" s="203" t="s">
        <v>138</v>
      </c>
      <c r="B20" s="231"/>
      <c r="C20" s="232"/>
      <c r="D20" s="238"/>
      <c r="E20" s="232"/>
      <c r="F20" s="287"/>
      <c r="G20" s="181"/>
      <c r="H20" s="288"/>
      <c r="I20" s="182"/>
      <c r="J20" s="246">
        <f>B20*F20*H20</f>
        <v>0</v>
      </c>
      <c r="K20" s="206"/>
      <c r="L20" s="260">
        <v>0.85</v>
      </c>
      <c r="M20" s="207"/>
      <c r="N20" s="246">
        <f t="shared" ref="N20:N23" si="1">J20*L20</f>
        <v>0</v>
      </c>
    </row>
    <row r="21" spans="1:14" s="186" customFormat="1" ht="12.95" customHeight="1" thickBot="1" x14ac:dyDescent="0.3">
      <c r="A21" s="204"/>
      <c r="B21" s="233"/>
      <c r="C21" s="234"/>
      <c r="D21" s="240"/>
      <c r="E21" s="234"/>
      <c r="F21" s="289"/>
      <c r="G21" s="184"/>
      <c r="H21" s="290"/>
      <c r="I21" s="209"/>
      <c r="J21" s="246">
        <f t="shared" ref="J21:J23" si="2">B21*F21*H21</f>
        <v>0</v>
      </c>
      <c r="K21" s="206"/>
      <c r="L21" s="263">
        <v>0.85</v>
      </c>
      <c r="M21" s="207"/>
      <c r="N21" s="246">
        <f t="shared" si="1"/>
        <v>0</v>
      </c>
    </row>
    <row r="22" spans="1:14" s="186" customFormat="1" ht="12.95" customHeight="1" thickBot="1" x14ac:dyDescent="0.3">
      <c r="A22" s="208"/>
      <c r="B22" s="235"/>
      <c r="C22" s="232"/>
      <c r="D22" s="239"/>
      <c r="E22" s="232"/>
      <c r="F22" s="291"/>
      <c r="G22" s="181"/>
      <c r="H22" s="292"/>
      <c r="I22" s="182"/>
      <c r="J22" s="246">
        <f t="shared" si="2"/>
        <v>0</v>
      </c>
      <c r="K22" s="201"/>
      <c r="L22" s="263">
        <v>0.85</v>
      </c>
      <c r="M22" s="190"/>
      <c r="N22" s="246">
        <f t="shared" si="1"/>
        <v>0</v>
      </c>
    </row>
    <row r="23" spans="1:14" s="186" customFormat="1" ht="12.95" customHeight="1" thickBot="1" x14ac:dyDescent="0.3">
      <c r="A23" s="204"/>
      <c r="B23" s="236"/>
      <c r="C23" s="234"/>
      <c r="D23" s="238"/>
      <c r="E23" s="232"/>
      <c r="F23" s="287"/>
      <c r="G23" s="181"/>
      <c r="H23" s="288"/>
      <c r="I23" s="209"/>
      <c r="J23" s="246">
        <f t="shared" si="2"/>
        <v>0</v>
      </c>
      <c r="K23" s="206"/>
      <c r="L23" s="263">
        <v>0.85</v>
      </c>
      <c r="M23" s="207"/>
      <c r="N23" s="254">
        <f t="shared" si="1"/>
        <v>0</v>
      </c>
    </row>
    <row r="24" spans="1:14" s="186" customFormat="1" ht="12.95" customHeight="1" x14ac:dyDescent="0.25">
      <c r="A24" s="182"/>
      <c r="B24" s="182"/>
      <c r="C24" s="182"/>
      <c r="D24" s="241"/>
      <c r="E24" s="182"/>
      <c r="F24" s="182"/>
      <c r="G24" s="182"/>
      <c r="H24" s="182"/>
      <c r="I24" s="182"/>
      <c r="J24" s="248"/>
      <c r="K24" s="201"/>
      <c r="L24" s="264"/>
      <c r="M24" s="190"/>
      <c r="N24" s="248"/>
    </row>
    <row r="25" spans="1:14" s="186" customFormat="1" ht="12.95" customHeight="1" thickBot="1" x14ac:dyDescent="0.3">
      <c r="A25" s="183"/>
      <c r="B25" s="198" t="s">
        <v>139</v>
      </c>
      <c r="C25" s="199"/>
      <c r="D25" s="243"/>
      <c r="E25" s="199"/>
      <c r="F25" s="182"/>
      <c r="G25" s="182"/>
      <c r="H25" s="182"/>
      <c r="I25" s="182"/>
      <c r="J25" s="249">
        <f>SUM(J11:J23)</f>
        <v>0</v>
      </c>
      <c r="K25" s="201"/>
      <c r="L25" s="264"/>
      <c r="M25" s="190"/>
      <c r="N25" s="249">
        <f>SUM(N11:N23)</f>
        <v>0</v>
      </c>
    </row>
    <row r="26" spans="1:14" s="186" customFormat="1" ht="12.95" customHeight="1" thickTop="1" x14ac:dyDescent="0.25">
      <c r="A26" s="209"/>
      <c r="B26" s="199"/>
      <c r="C26" s="199"/>
      <c r="D26" s="243"/>
      <c r="E26" s="199"/>
      <c r="F26" s="199"/>
      <c r="G26" s="199"/>
      <c r="H26" s="199"/>
      <c r="I26" s="209"/>
      <c r="J26" s="250"/>
      <c r="K26" s="206"/>
      <c r="L26" s="264"/>
      <c r="M26" s="190"/>
      <c r="N26" s="250"/>
    </row>
    <row r="27" spans="1:14" s="186" customFormat="1" ht="12.95" customHeight="1" x14ac:dyDescent="0.25">
      <c r="A27" s="187" t="s">
        <v>140</v>
      </c>
      <c r="B27" s="273" t="s">
        <v>247</v>
      </c>
      <c r="C27" s="199"/>
      <c r="D27" s="305" t="s">
        <v>135</v>
      </c>
      <c r="E27" s="199"/>
      <c r="F27" s="273" t="s">
        <v>9</v>
      </c>
      <c r="G27" s="181"/>
      <c r="I27" s="182"/>
      <c r="J27" s="251"/>
      <c r="K27" s="201"/>
      <c r="L27" s="264"/>
      <c r="M27" s="190"/>
      <c r="N27" s="251"/>
    </row>
    <row r="28" spans="1:14" s="186" customFormat="1" ht="12.95" customHeight="1" thickBot="1" x14ac:dyDescent="0.3">
      <c r="A28" s="208"/>
      <c r="B28" s="228"/>
      <c r="C28" s="182"/>
      <c r="D28" s="244"/>
      <c r="E28" s="182"/>
      <c r="F28" s="205"/>
      <c r="G28" s="182"/>
      <c r="I28" s="182"/>
      <c r="J28" s="246">
        <f t="shared" ref="J28:J37" si="3">B28*F28</f>
        <v>0</v>
      </c>
      <c r="K28" s="201"/>
      <c r="L28" s="260">
        <v>0.85</v>
      </c>
      <c r="M28" s="190"/>
      <c r="N28" s="246">
        <f t="shared" ref="N28:N37" si="4">J28*L28</f>
        <v>0</v>
      </c>
    </row>
    <row r="29" spans="1:14" s="186" customFormat="1" ht="12.95" customHeight="1" thickBot="1" x14ac:dyDescent="0.3">
      <c r="A29" s="208"/>
      <c r="B29" s="228"/>
      <c r="C29" s="182"/>
      <c r="D29" s="244"/>
      <c r="E29" s="182"/>
      <c r="F29" s="205"/>
      <c r="G29" s="182"/>
      <c r="I29" s="209"/>
      <c r="J29" s="246">
        <f t="shared" si="3"/>
        <v>0</v>
      </c>
      <c r="K29" s="201"/>
      <c r="L29" s="260">
        <v>0.85</v>
      </c>
      <c r="M29" s="190"/>
      <c r="N29" s="246">
        <f t="shared" si="4"/>
        <v>0</v>
      </c>
    </row>
    <row r="30" spans="1:14" s="186" customFormat="1" ht="12.95" customHeight="1" thickBot="1" x14ac:dyDescent="0.3">
      <c r="A30" s="208"/>
      <c r="B30" s="228"/>
      <c r="C30" s="182"/>
      <c r="D30" s="244"/>
      <c r="E30" s="182"/>
      <c r="F30" s="205"/>
      <c r="G30" s="182"/>
      <c r="I30" s="182"/>
      <c r="J30" s="246">
        <f t="shared" si="3"/>
        <v>0</v>
      </c>
      <c r="K30" s="201"/>
      <c r="L30" s="260">
        <v>0.85</v>
      </c>
      <c r="M30" s="190"/>
      <c r="N30" s="246">
        <f t="shared" si="4"/>
        <v>0</v>
      </c>
    </row>
    <row r="31" spans="1:14" s="186" customFormat="1" ht="12.95" customHeight="1" thickBot="1" x14ac:dyDescent="0.3">
      <c r="A31" s="208"/>
      <c r="B31" s="228"/>
      <c r="C31" s="182"/>
      <c r="D31" s="244"/>
      <c r="E31" s="182"/>
      <c r="F31" s="205"/>
      <c r="G31" s="182"/>
      <c r="I31" s="209"/>
      <c r="J31" s="246">
        <f t="shared" si="3"/>
        <v>0</v>
      </c>
      <c r="K31" s="201"/>
      <c r="L31" s="260">
        <v>0.85</v>
      </c>
      <c r="M31" s="190"/>
      <c r="N31" s="246">
        <f t="shared" si="4"/>
        <v>0</v>
      </c>
    </row>
    <row r="32" spans="1:14" s="186" customFormat="1" ht="12.95" customHeight="1" thickBot="1" x14ac:dyDescent="0.3">
      <c r="A32" s="208"/>
      <c r="B32" s="228"/>
      <c r="C32" s="182"/>
      <c r="D32" s="245"/>
      <c r="E32" s="182"/>
      <c r="F32" s="205"/>
      <c r="G32" s="182"/>
      <c r="I32" s="182"/>
      <c r="J32" s="246">
        <f t="shared" si="3"/>
        <v>0</v>
      </c>
      <c r="K32" s="201"/>
      <c r="L32" s="260">
        <v>0.85</v>
      </c>
      <c r="M32" s="190"/>
      <c r="N32" s="246">
        <f t="shared" si="4"/>
        <v>0</v>
      </c>
    </row>
    <row r="33" spans="1:14" s="186" customFormat="1" ht="12.95" customHeight="1" thickBot="1" x14ac:dyDescent="0.3">
      <c r="A33" s="208"/>
      <c r="B33" s="228"/>
      <c r="C33" s="182"/>
      <c r="D33" s="244"/>
      <c r="E33" s="182"/>
      <c r="F33" s="205"/>
      <c r="G33" s="182"/>
      <c r="I33" s="209"/>
      <c r="J33" s="246">
        <f t="shared" si="3"/>
        <v>0</v>
      </c>
      <c r="K33" s="201"/>
      <c r="L33" s="260">
        <v>0.85</v>
      </c>
      <c r="M33" s="190"/>
      <c r="N33" s="246">
        <f t="shared" si="4"/>
        <v>0</v>
      </c>
    </row>
    <row r="34" spans="1:14" s="186" customFormat="1" ht="12.95" customHeight="1" thickBot="1" x14ac:dyDescent="0.3">
      <c r="A34" s="208"/>
      <c r="B34" s="228"/>
      <c r="C34" s="182"/>
      <c r="D34" s="244"/>
      <c r="E34" s="182"/>
      <c r="F34" s="205"/>
      <c r="G34" s="182"/>
      <c r="I34" s="182"/>
      <c r="J34" s="246">
        <f t="shared" si="3"/>
        <v>0</v>
      </c>
      <c r="K34" s="201"/>
      <c r="L34" s="260">
        <v>0.85</v>
      </c>
      <c r="M34" s="190"/>
      <c r="N34" s="246">
        <f t="shared" si="4"/>
        <v>0</v>
      </c>
    </row>
    <row r="35" spans="1:14" s="186" customFormat="1" ht="12.95" customHeight="1" thickBot="1" x14ac:dyDescent="0.3">
      <c r="A35" s="208"/>
      <c r="B35" s="228"/>
      <c r="C35" s="182"/>
      <c r="D35" s="244"/>
      <c r="E35" s="182"/>
      <c r="F35" s="205"/>
      <c r="G35" s="182"/>
      <c r="I35" s="209"/>
      <c r="J35" s="246">
        <f t="shared" si="3"/>
        <v>0</v>
      </c>
      <c r="K35" s="201"/>
      <c r="L35" s="260">
        <v>0.85</v>
      </c>
      <c r="M35" s="190"/>
      <c r="N35" s="246">
        <f t="shared" si="4"/>
        <v>0</v>
      </c>
    </row>
    <row r="36" spans="1:14" s="186" customFormat="1" ht="12.95" customHeight="1" thickBot="1" x14ac:dyDescent="0.3">
      <c r="A36" s="208"/>
      <c r="B36" s="228"/>
      <c r="C36" s="182"/>
      <c r="D36" s="244"/>
      <c r="E36" s="182"/>
      <c r="F36" s="205"/>
      <c r="G36" s="182"/>
      <c r="I36" s="182"/>
      <c r="J36" s="246">
        <f t="shared" si="3"/>
        <v>0</v>
      </c>
      <c r="K36" s="201"/>
      <c r="L36" s="260">
        <v>0.85</v>
      </c>
      <c r="M36" s="190"/>
      <c r="N36" s="246">
        <f t="shared" si="4"/>
        <v>0</v>
      </c>
    </row>
    <row r="37" spans="1:14" s="186" customFormat="1" ht="12.95" customHeight="1" thickBot="1" x14ac:dyDescent="0.3">
      <c r="A37" s="208"/>
      <c r="B37" s="228"/>
      <c r="C37" s="182"/>
      <c r="D37" s="244"/>
      <c r="E37" s="182"/>
      <c r="F37" s="205"/>
      <c r="G37" s="182"/>
      <c r="I37" s="209"/>
      <c r="J37" s="252">
        <f t="shared" si="3"/>
        <v>0</v>
      </c>
      <c r="K37" s="201"/>
      <c r="L37" s="260">
        <v>0.85</v>
      </c>
      <c r="M37" s="195"/>
      <c r="N37" s="246">
        <f t="shared" si="4"/>
        <v>0</v>
      </c>
    </row>
    <row r="38" spans="1:14" s="186" customFormat="1" ht="12.95" customHeight="1" thickTop="1" x14ac:dyDescent="0.25">
      <c r="A38" s="183"/>
      <c r="B38" s="187" t="s">
        <v>142</v>
      </c>
      <c r="C38" s="212"/>
      <c r="D38" s="212"/>
      <c r="E38" s="212"/>
      <c r="F38" s="183"/>
      <c r="G38" s="183"/>
      <c r="H38" s="183"/>
      <c r="I38" s="183"/>
      <c r="J38" s="253">
        <f>SUM(J28:J37)</f>
        <v>0</v>
      </c>
      <c r="K38" s="201"/>
      <c r="L38" s="264"/>
      <c r="M38" s="190"/>
      <c r="N38" s="253">
        <f>SUM(N28:N37)</f>
        <v>0</v>
      </c>
    </row>
    <row r="39" spans="1:14" s="186" customFormat="1" ht="12.95" customHeight="1" x14ac:dyDescent="0.25">
      <c r="A39" s="209"/>
      <c r="B39" s="209"/>
      <c r="C39" s="209"/>
      <c r="D39" s="209"/>
      <c r="E39" s="209"/>
      <c r="F39" s="209"/>
      <c r="G39" s="209"/>
      <c r="H39" s="209"/>
      <c r="I39" s="209"/>
      <c r="J39" s="247"/>
      <c r="K39" s="206"/>
      <c r="L39" s="264"/>
      <c r="M39" s="190"/>
      <c r="N39" s="247"/>
    </row>
    <row r="40" spans="1:14" s="186" customFormat="1" ht="12.95" customHeight="1" x14ac:dyDescent="0.25">
      <c r="A40" s="212"/>
      <c r="B40" s="214" t="s">
        <v>143</v>
      </c>
      <c r="C40" s="183"/>
      <c r="D40" s="183"/>
      <c r="E40" s="183"/>
      <c r="F40" s="183"/>
      <c r="G40" s="183"/>
      <c r="H40" s="183"/>
      <c r="I40" s="183"/>
      <c r="J40" s="253">
        <f>J25+J38</f>
        <v>0</v>
      </c>
      <c r="K40" s="201"/>
      <c r="L40" s="264"/>
      <c r="M40" s="190"/>
      <c r="N40" s="253">
        <f>N25+N38</f>
        <v>0</v>
      </c>
    </row>
    <row r="41" spans="1:14" s="186" customFormat="1" ht="12.95" customHeight="1" x14ac:dyDescent="0.25">
      <c r="A41" s="209"/>
      <c r="B41" s="209"/>
      <c r="C41" s="209"/>
      <c r="D41" s="209"/>
      <c r="E41" s="209"/>
      <c r="F41" s="209"/>
      <c r="G41" s="209"/>
      <c r="H41" s="209"/>
      <c r="I41" s="209"/>
      <c r="J41" s="210"/>
      <c r="K41" s="206"/>
      <c r="L41" s="264"/>
      <c r="M41" s="190"/>
      <c r="N41" s="250"/>
    </row>
    <row r="42" spans="1:14" s="186" customFormat="1" ht="12.95" customHeight="1" x14ac:dyDescent="0.25">
      <c r="A42" s="182"/>
      <c r="B42" s="182"/>
      <c r="C42" s="182"/>
      <c r="D42" s="182"/>
      <c r="E42" s="182"/>
      <c r="F42" s="183"/>
      <c r="G42" s="183"/>
      <c r="H42" s="183"/>
      <c r="I42" s="183"/>
      <c r="J42" s="211"/>
      <c r="K42" s="201"/>
      <c r="L42" s="264"/>
      <c r="M42" s="190"/>
      <c r="N42" s="251"/>
    </row>
    <row r="43" spans="1:14" s="186" customFormat="1" ht="12.95" customHeight="1" x14ac:dyDescent="0.25">
      <c r="A43" s="187" t="s">
        <v>144</v>
      </c>
      <c r="B43" s="183"/>
      <c r="C43" s="183"/>
      <c r="D43" s="183"/>
      <c r="E43" s="183"/>
      <c r="F43" s="183"/>
      <c r="G43" s="183"/>
      <c r="H43" s="183"/>
      <c r="I43" s="183"/>
      <c r="J43" s="211"/>
      <c r="K43" s="201"/>
      <c r="L43" s="264"/>
      <c r="M43" s="190"/>
      <c r="N43" s="251"/>
    </row>
    <row r="44" spans="1:14" s="186" customFormat="1" ht="12.95" customHeight="1" x14ac:dyDescent="0.25">
      <c r="A44" s="212" t="s">
        <v>145</v>
      </c>
      <c r="B44" s="183"/>
      <c r="C44" s="183"/>
      <c r="D44" s="183"/>
      <c r="E44" s="183"/>
      <c r="F44" s="183"/>
      <c r="G44" s="183"/>
      <c r="H44" s="183"/>
      <c r="I44" s="183"/>
      <c r="J44" s="211"/>
      <c r="K44" s="201"/>
      <c r="L44" s="264"/>
      <c r="M44" s="190"/>
      <c r="N44" s="251"/>
    </row>
    <row r="45" spans="1:14" s="186" customFormat="1" ht="12.95" customHeight="1" thickBot="1" x14ac:dyDescent="0.3">
      <c r="A45" s="212" t="s">
        <v>146</v>
      </c>
      <c r="B45" s="183"/>
      <c r="C45" s="183"/>
      <c r="D45" s="183"/>
      <c r="E45" s="183"/>
      <c r="F45" s="183"/>
      <c r="G45" s="183"/>
      <c r="H45" s="183"/>
      <c r="I45" s="183"/>
      <c r="J45" s="188"/>
      <c r="K45" s="215"/>
      <c r="L45" s="260">
        <v>0.6</v>
      </c>
      <c r="M45" s="202"/>
      <c r="N45" s="246">
        <f>J45*L45</f>
        <v>0</v>
      </c>
    </row>
    <row r="46" spans="1:14" s="186" customFormat="1" ht="12.95" customHeight="1" thickBot="1" x14ac:dyDescent="0.3">
      <c r="A46" s="212" t="s">
        <v>147</v>
      </c>
      <c r="B46" s="183"/>
      <c r="C46" s="183"/>
      <c r="D46" s="183"/>
      <c r="E46" s="183"/>
      <c r="F46" s="183"/>
      <c r="G46" s="183"/>
      <c r="H46" s="183"/>
      <c r="I46" s="183"/>
      <c r="J46" s="216"/>
      <c r="K46" s="215"/>
      <c r="L46" s="263">
        <v>0.8</v>
      </c>
      <c r="M46" s="202"/>
      <c r="N46" s="246">
        <f t="shared" ref="N46:N47" si="5">J46*L46</f>
        <v>0</v>
      </c>
    </row>
    <row r="47" spans="1:14" s="186" customFormat="1" ht="12.95" customHeight="1" thickBot="1" x14ac:dyDescent="0.3">
      <c r="A47" s="212" t="s">
        <v>148</v>
      </c>
      <c r="B47" s="183"/>
      <c r="C47" s="183"/>
      <c r="D47" s="183"/>
      <c r="E47" s="183"/>
      <c r="F47" s="183"/>
      <c r="G47" s="183"/>
      <c r="H47" s="183"/>
      <c r="I47" s="183"/>
      <c r="J47" s="216"/>
      <c r="K47" s="215"/>
      <c r="L47" s="263">
        <v>0.5</v>
      </c>
      <c r="M47" s="202"/>
      <c r="N47" s="246">
        <f t="shared" si="5"/>
        <v>0</v>
      </c>
    </row>
    <row r="48" spans="1:14" s="186" customFormat="1" ht="12.95" customHeight="1" thickBot="1" x14ac:dyDescent="0.3">
      <c r="A48" s="183"/>
      <c r="B48" s="187" t="s">
        <v>46</v>
      </c>
      <c r="C48" s="212"/>
      <c r="D48" s="212"/>
      <c r="E48" s="212"/>
      <c r="F48" s="183"/>
      <c r="G48" s="183"/>
      <c r="H48" s="183"/>
      <c r="I48" s="183"/>
      <c r="J48" s="254">
        <f>SUM(J45:J47)</f>
        <v>0</v>
      </c>
      <c r="K48" s="217"/>
      <c r="L48" s="262"/>
      <c r="M48" s="202"/>
      <c r="N48" s="270">
        <f>SUM(N45:N47)</f>
        <v>0</v>
      </c>
    </row>
    <row r="49" spans="1:14" s="186" customFormat="1" ht="12.95" customHeight="1" thickBot="1" x14ac:dyDescent="0.3">
      <c r="A49" s="183"/>
      <c r="B49" s="187" t="s">
        <v>149</v>
      </c>
      <c r="C49" s="212"/>
      <c r="D49" s="212"/>
      <c r="E49" s="212"/>
      <c r="F49" s="183"/>
      <c r="G49" s="183"/>
      <c r="H49" s="183"/>
      <c r="I49" s="183"/>
      <c r="J49" s="218"/>
      <c r="K49" s="215"/>
      <c r="L49" s="262"/>
      <c r="M49" s="202"/>
      <c r="N49" s="271">
        <f>J49</f>
        <v>0</v>
      </c>
    </row>
    <row r="50" spans="1:14" s="186" customFormat="1" ht="12.95" customHeight="1" thickTop="1" x14ac:dyDescent="0.25">
      <c r="A50" s="183"/>
      <c r="B50" s="187" t="s">
        <v>150</v>
      </c>
      <c r="C50" s="212"/>
      <c r="D50" s="212"/>
      <c r="E50" s="212"/>
      <c r="F50" s="183"/>
      <c r="G50" s="183"/>
      <c r="H50" s="183"/>
      <c r="I50" s="183"/>
      <c r="J50" s="255">
        <f>J48-J49</f>
        <v>0</v>
      </c>
      <c r="K50" s="217"/>
      <c r="L50" s="262"/>
      <c r="M50" s="202"/>
      <c r="N50" s="255">
        <f>N48-N49</f>
        <v>0</v>
      </c>
    </row>
    <row r="51" spans="1:14" s="186" customFormat="1" ht="12.95" customHeight="1" x14ac:dyDescent="0.25">
      <c r="A51" s="183"/>
      <c r="B51" s="183"/>
      <c r="C51" s="183"/>
      <c r="D51" s="183"/>
      <c r="E51" s="183"/>
      <c r="F51" s="183"/>
      <c r="G51" s="183"/>
      <c r="H51" s="183"/>
      <c r="I51" s="183"/>
      <c r="J51" s="210"/>
      <c r="K51" s="206"/>
      <c r="L51" s="265"/>
      <c r="M51" s="189"/>
      <c r="N51" s="250"/>
    </row>
    <row r="52" spans="1:14" s="186" customFormat="1" ht="12.95" customHeight="1" x14ac:dyDescent="0.25">
      <c r="A52" s="183"/>
      <c r="B52" s="183"/>
      <c r="C52" s="183"/>
      <c r="D52" s="183"/>
      <c r="E52" s="183"/>
      <c r="F52" s="183"/>
      <c r="G52" s="183"/>
      <c r="H52" s="183"/>
      <c r="I52" s="183"/>
      <c r="J52" s="219"/>
      <c r="K52" s="183"/>
      <c r="L52" s="183"/>
      <c r="M52" s="183"/>
      <c r="N52" s="272"/>
    </row>
    <row r="53" spans="1:14" s="186" customFormat="1" ht="12.95" customHeight="1" x14ac:dyDescent="0.25">
      <c r="A53" s="187" t="s">
        <v>151</v>
      </c>
      <c r="B53" s="183"/>
      <c r="C53" s="183"/>
      <c r="D53" s="183"/>
      <c r="E53" s="183"/>
      <c r="F53" s="183"/>
      <c r="G53" s="183"/>
      <c r="H53" s="183"/>
      <c r="I53" s="183"/>
      <c r="J53" s="211"/>
      <c r="K53" s="201"/>
      <c r="L53" s="266"/>
      <c r="M53" s="190"/>
      <c r="N53" s="251"/>
    </row>
    <row r="54" spans="1:14" s="186" customFormat="1" ht="12.95" customHeight="1" thickBot="1" x14ac:dyDescent="0.3">
      <c r="A54" s="212" t="s">
        <v>152</v>
      </c>
      <c r="B54" s="183"/>
      <c r="C54" s="183"/>
      <c r="D54" s="183"/>
      <c r="E54" s="183"/>
      <c r="F54" s="183"/>
      <c r="G54" s="183"/>
      <c r="H54" s="183"/>
      <c r="I54" s="183"/>
      <c r="J54" s="188"/>
      <c r="K54" s="215"/>
      <c r="L54" s="260">
        <v>0.7</v>
      </c>
      <c r="M54" s="202"/>
      <c r="N54" s="246">
        <f>J54*L54</f>
        <v>0</v>
      </c>
    </row>
    <row r="55" spans="1:14" s="186" customFormat="1" ht="12.95" customHeight="1" thickBot="1" x14ac:dyDescent="0.3">
      <c r="A55" s="212" t="s">
        <v>153</v>
      </c>
      <c r="B55" s="183"/>
      <c r="C55" s="183"/>
      <c r="D55" s="183"/>
      <c r="E55" s="183"/>
      <c r="F55" s="183"/>
      <c r="G55" s="183"/>
      <c r="H55" s="183"/>
      <c r="I55" s="183"/>
      <c r="J55" s="218"/>
      <c r="K55" s="215"/>
      <c r="L55" s="260">
        <v>0.7</v>
      </c>
      <c r="M55" s="202"/>
      <c r="N55" s="252">
        <f>J55*L55</f>
        <v>0</v>
      </c>
    </row>
    <row r="56" spans="1:14" s="186" customFormat="1" ht="12.95" customHeight="1" thickTop="1" x14ac:dyDescent="0.25">
      <c r="A56" s="183"/>
      <c r="B56" s="187" t="s">
        <v>46</v>
      </c>
      <c r="C56" s="212"/>
      <c r="D56" s="212"/>
      <c r="E56" s="212"/>
      <c r="F56" s="183"/>
      <c r="G56" s="183"/>
      <c r="H56" s="183"/>
      <c r="I56" s="183"/>
      <c r="J56" s="253">
        <f>SUM(J54:J55)</f>
        <v>0</v>
      </c>
      <c r="K56" s="217"/>
      <c r="L56" s="262"/>
      <c r="M56" s="202"/>
      <c r="N56" s="253">
        <f>SUM(N54:N55)</f>
        <v>0</v>
      </c>
    </row>
    <row r="57" spans="1:14" s="186" customFormat="1" ht="12.95" customHeight="1" x14ac:dyDescent="0.25">
      <c r="A57" s="183"/>
      <c r="B57" s="212" t="s">
        <v>154</v>
      </c>
      <c r="C57" s="212"/>
      <c r="D57" s="212"/>
      <c r="E57" s="212"/>
      <c r="F57" s="183"/>
      <c r="G57" s="183"/>
      <c r="H57" s="183"/>
      <c r="I57" s="183"/>
      <c r="J57" s="196"/>
      <c r="K57" s="215"/>
      <c r="L57" s="262"/>
      <c r="M57" s="202"/>
      <c r="N57" s="248">
        <f>J57</f>
        <v>0</v>
      </c>
    </row>
    <row r="58" spans="1:14" s="186" customFormat="1" ht="12.95" customHeight="1" thickBot="1" x14ac:dyDescent="0.3">
      <c r="A58" s="183"/>
      <c r="B58" s="187" t="s">
        <v>150</v>
      </c>
      <c r="C58" s="212"/>
      <c r="D58" s="212"/>
      <c r="E58" s="212"/>
      <c r="F58" s="183"/>
      <c r="G58" s="183"/>
      <c r="H58" s="183"/>
      <c r="I58" s="183"/>
      <c r="J58" s="256">
        <f>J56-J57</f>
        <v>0</v>
      </c>
      <c r="K58" s="217"/>
      <c r="L58" s="262"/>
      <c r="M58" s="202"/>
      <c r="N58" s="256">
        <f>N56-N57</f>
        <v>0</v>
      </c>
    </row>
    <row r="59" spans="1:14" s="186" customFormat="1" ht="12.95" customHeight="1" thickTop="1" x14ac:dyDescent="0.25">
      <c r="A59" s="183"/>
      <c r="B59" s="183"/>
      <c r="C59" s="183"/>
      <c r="D59" s="183"/>
      <c r="E59" s="183"/>
      <c r="F59" s="183"/>
      <c r="G59" s="183"/>
      <c r="H59" s="183"/>
      <c r="I59" s="183"/>
      <c r="J59" s="197"/>
      <c r="K59" s="217"/>
      <c r="L59" s="267"/>
      <c r="M59" s="215"/>
      <c r="N59" s="248"/>
    </row>
    <row r="60" spans="1:14" s="186" customFormat="1" ht="12.95" customHeight="1" thickBot="1" x14ac:dyDescent="0.3">
      <c r="A60" s="187" t="s">
        <v>155</v>
      </c>
      <c r="B60" s="183"/>
      <c r="C60" s="183"/>
      <c r="D60" s="183"/>
      <c r="E60" s="183"/>
      <c r="F60" s="183"/>
      <c r="G60" s="183"/>
      <c r="H60" s="183"/>
      <c r="I60" s="183"/>
      <c r="J60" s="276"/>
      <c r="K60" s="215"/>
      <c r="L60" s="268">
        <v>0.5</v>
      </c>
      <c r="M60" s="202"/>
      <c r="N60" s="249">
        <f>J60*L60</f>
        <v>0</v>
      </c>
    </row>
    <row r="61" spans="1:14" s="186" customFormat="1" ht="12.95" customHeight="1" thickTop="1" x14ac:dyDescent="0.25">
      <c r="A61" s="183"/>
      <c r="B61" s="183"/>
      <c r="C61" s="183"/>
      <c r="D61" s="183"/>
      <c r="E61" s="183"/>
      <c r="F61" s="183"/>
      <c r="G61" s="183"/>
      <c r="H61" s="183"/>
      <c r="I61" s="183"/>
      <c r="J61" s="200"/>
      <c r="K61" s="217"/>
      <c r="L61" s="220"/>
      <c r="M61" s="220"/>
      <c r="N61" s="200"/>
    </row>
    <row r="62" spans="1:14" s="186" customFormat="1" ht="12.95" customHeight="1" x14ac:dyDescent="0.25">
      <c r="A62" s="183"/>
      <c r="B62" s="183"/>
      <c r="C62" s="183"/>
      <c r="D62" s="183"/>
      <c r="E62" s="183"/>
      <c r="F62" s="183"/>
      <c r="G62" s="183"/>
      <c r="H62" s="183"/>
      <c r="I62" s="183"/>
      <c r="J62" s="221"/>
      <c r="K62" s="189"/>
      <c r="L62" s="190"/>
      <c r="M62" s="190"/>
      <c r="N62" s="211"/>
    </row>
    <row r="63" spans="1:14" s="186" customFormat="1" ht="3" customHeight="1" x14ac:dyDescent="0.25">
      <c r="A63" s="282"/>
      <c r="B63" s="282"/>
      <c r="C63" s="282"/>
      <c r="D63" s="282"/>
      <c r="E63" s="282"/>
      <c r="F63" s="282"/>
      <c r="G63" s="282"/>
      <c r="H63" s="282"/>
      <c r="I63" s="282"/>
      <c r="J63" s="283"/>
      <c r="K63" s="284"/>
      <c r="L63" s="285"/>
      <c r="M63" s="285"/>
      <c r="N63" s="286"/>
    </row>
    <row r="64" spans="1:14" s="186" customFormat="1" ht="12" customHeight="1" x14ac:dyDescent="0.25">
      <c r="A64" s="183"/>
      <c r="B64" s="183"/>
      <c r="C64" s="183"/>
      <c r="D64" s="183"/>
      <c r="E64" s="183"/>
      <c r="F64" s="183"/>
      <c r="G64" s="183"/>
      <c r="H64" s="183"/>
      <c r="I64" s="183"/>
      <c r="J64" s="221"/>
      <c r="K64" s="189"/>
      <c r="L64" s="190"/>
      <c r="M64" s="190"/>
      <c r="N64" s="211"/>
    </row>
    <row r="65" spans="1:14" s="186" customFormat="1" ht="12.95" customHeight="1" x14ac:dyDescent="0.25">
      <c r="A65" s="183"/>
      <c r="B65" s="281" t="s">
        <v>159</v>
      </c>
      <c r="C65" s="183"/>
      <c r="D65" s="183"/>
      <c r="E65" s="183"/>
      <c r="F65" s="183"/>
      <c r="G65" s="183"/>
      <c r="H65" s="184" t="s">
        <v>156</v>
      </c>
      <c r="I65" s="183"/>
      <c r="J65" s="257" t="s">
        <v>127</v>
      </c>
      <c r="K65" s="258"/>
      <c r="L65" s="259" t="s">
        <v>157</v>
      </c>
      <c r="M65" s="202"/>
      <c r="N65" s="222" t="s">
        <v>158</v>
      </c>
    </row>
    <row r="66" spans="1:14" s="186" customFormat="1" ht="12.95" customHeight="1" x14ac:dyDescent="0.25">
      <c r="B66" s="183"/>
      <c r="C66" s="183"/>
      <c r="E66" s="183"/>
      <c r="F66" s="183"/>
      <c r="G66" s="183"/>
      <c r="H66" s="184" t="s">
        <v>160</v>
      </c>
      <c r="I66" s="183"/>
      <c r="J66" s="257" t="s">
        <v>128</v>
      </c>
      <c r="K66" s="258"/>
      <c r="L66" s="259" t="s">
        <v>161</v>
      </c>
      <c r="M66" s="202"/>
      <c r="N66" s="213" t="s">
        <v>9</v>
      </c>
    </row>
    <row r="67" spans="1:14" s="186" customFormat="1" ht="12.95" customHeight="1" x14ac:dyDescent="0.25">
      <c r="A67" s="212" t="s">
        <v>99</v>
      </c>
      <c r="B67" s="183"/>
      <c r="C67" s="183"/>
      <c r="D67" s="183"/>
      <c r="E67" s="183"/>
      <c r="F67" s="183"/>
      <c r="G67" s="183"/>
      <c r="H67" s="183"/>
      <c r="I67" s="183"/>
      <c r="J67" s="221"/>
      <c r="K67" s="189"/>
      <c r="L67" s="190"/>
      <c r="M67" s="190"/>
      <c r="N67" s="211"/>
    </row>
    <row r="68" spans="1:14" s="186" customFormat="1" ht="12.95" customHeight="1" thickBot="1" x14ac:dyDescent="0.3">
      <c r="B68" s="183"/>
      <c r="C68" s="183"/>
      <c r="D68" s="187" t="s">
        <v>162</v>
      </c>
      <c r="E68" s="183"/>
      <c r="F68" s="183"/>
      <c r="G68" s="183"/>
      <c r="H68" s="223">
        <v>0.1</v>
      </c>
      <c r="I68" s="183"/>
      <c r="J68" s="246">
        <f>N25</f>
        <v>0</v>
      </c>
      <c r="K68" s="217"/>
      <c r="L68" s="246">
        <f>J68*H68</f>
        <v>0</v>
      </c>
      <c r="M68" s="217"/>
      <c r="N68" s="246">
        <f>J68-L68</f>
        <v>0</v>
      </c>
    </row>
    <row r="69" spans="1:14" s="186" customFormat="1" ht="12.95" customHeight="1" thickBot="1" x14ac:dyDescent="0.3">
      <c r="B69" s="183"/>
      <c r="C69" s="183"/>
      <c r="D69" s="187" t="s">
        <v>163</v>
      </c>
      <c r="E69" s="183"/>
      <c r="F69" s="183"/>
      <c r="G69" s="183"/>
      <c r="H69" s="224">
        <v>0.1</v>
      </c>
      <c r="I69" s="183"/>
      <c r="J69" s="254">
        <f>N38</f>
        <v>0</v>
      </c>
      <c r="K69" s="217"/>
      <c r="L69" s="246">
        <f t="shared" ref="L69:L73" si="6">J69*H69</f>
        <v>0</v>
      </c>
      <c r="M69" s="217"/>
      <c r="N69" s="254">
        <f t="shared" ref="N69:N73" si="7">J69-L69</f>
        <v>0</v>
      </c>
    </row>
    <row r="70" spans="1:14" s="186" customFormat="1" ht="12.95" customHeight="1" thickBot="1" x14ac:dyDescent="0.3">
      <c r="B70" s="183"/>
      <c r="C70" s="183"/>
      <c r="D70" s="187" t="s">
        <v>164</v>
      </c>
      <c r="E70" s="183"/>
      <c r="F70" s="183"/>
      <c r="G70" s="183"/>
      <c r="H70" s="224">
        <v>0.1</v>
      </c>
      <c r="I70" s="183"/>
      <c r="J70" s="254">
        <f>N50</f>
        <v>0</v>
      </c>
      <c r="K70" s="217"/>
      <c r="L70" s="246">
        <f t="shared" si="6"/>
        <v>0</v>
      </c>
      <c r="M70" s="217"/>
      <c r="N70" s="254">
        <f t="shared" si="7"/>
        <v>0</v>
      </c>
    </row>
    <row r="71" spans="1:14" s="186" customFormat="1" ht="12.95" customHeight="1" thickBot="1" x14ac:dyDescent="0.3">
      <c r="B71" s="183"/>
      <c r="C71" s="183"/>
      <c r="D71" s="187" t="s">
        <v>165</v>
      </c>
      <c r="E71" s="183"/>
      <c r="F71" s="183"/>
      <c r="G71" s="183"/>
      <c r="H71" s="224">
        <v>0.1</v>
      </c>
      <c r="I71" s="183"/>
      <c r="J71" s="254">
        <f>N58</f>
        <v>0</v>
      </c>
      <c r="K71" s="217"/>
      <c r="L71" s="246">
        <f t="shared" si="6"/>
        <v>0</v>
      </c>
      <c r="M71" s="217"/>
      <c r="N71" s="246">
        <f t="shared" si="7"/>
        <v>0</v>
      </c>
    </row>
    <row r="72" spans="1:14" s="186" customFormat="1" ht="12.95" customHeight="1" thickBot="1" x14ac:dyDescent="0.3">
      <c r="B72" s="183"/>
      <c r="C72" s="183"/>
      <c r="D72" s="187" t="s">
        <v>242</v>
      </c>
      <c r="E72" s="183"/>
      <c r="F72" s="183"/>
      <c r="G72" s="183"/>
      <c r="H72" s="224">
        <v>0</v>
      </c>
      <c r="I72" s="183"/>
      <c r="J72" s="254">
        <f>N9</f>
        <v>0</v>
      </c>
      <c r="K72" s="217"/>
      <c r="L72" s="277">
        <f t="shared" si="6"/>
        <v>0</v>
      </c>
      <c r="M72" s="217"/>
      <c r="N72" s="277">
        <f t="shared" si="7"/>
        <v>0</v>
      </c>
    </row>
    <row r="73" spans="1:14" s="186" customFormat="1" ht="12.95" customHeight="1" thickBot="1" x14ac:dyDescent="0.3">
      <c r="B73" s="183"/>
      <c r="C73" s="183"/>
      <c r="D73" s="187" t="s">
        <v>166</v>
      </c>
      <c r="E73" s="183"/>
      <c r="F73" s="183"/>
      <c r="G73" s="183"/>
      <c r="H73" s="224">
        <v>0.25</v>
      </c>
      <c r="I73" s="183"/>
      <c r="J73" s="254">
        <f>N60</f>
        <v>0</v>
      </c>
      <c r="K73" s="217"/>
      <c r="L73" s="246">
        <f t="shared" si="6"/>
        <v>0</v>
      </c>
      <c r="M73" s="217"/>
      <c r="N73" s="246">
        <f t="shared" si="7"/>
        <v>0</v>
      </c>
    </row>
    <row r="74" spans="1:14" s="186" customFormat="1" ht="12.95" customHeight="1" x14ac:dyDescent="0.25">
      <c r="A74" s="183"/>
      <c r="B74" s="183"/>
      <c r="C74" s="183"/>
      <c r="D74" s="183"/>
      <c r="E74" s="183"/>
      <c r="F74" s="182"/>
      <c r="G74" s="182"/>
      <c r="H74" s="182"/>
      <c r="I74" s="182"/>
      <c r="J74" s="217"/>
      <c r="K74" s="217"/>
      <c r="L74" s="217"/>
      <c r="M74" s="217"/>
      <c r="N74" s="247"/>
    </row>
    <row r="75" spans="1:14" s="186" customFormat="1" ht="12.95" customHeight="1" thickBot="1" x14ac:dyDescent="0.3">
      <c r="B75" s="183"/>
      <c r="C75" s="183"/>
      <c r="D75" s="183"/>
      <c r="E75" s="183"/>
      <c r="F75" s="182"/>
      <c r="G75" s="182"/>
      <c r="H75" s="187" t="s">
        <v>244</v>
      </c>
      <c r="I75" s="182"/>
      <c r="J75" s="215"/>
      <c r="K75" s="215"/>
      <c r="L75" s="202"/>
      <c r="M75" s="202"/>
      <c r="N75" s="246">
        <f>SUM(N68:N73)</f>
        <v>0</v>
      </c>
    </row>
    <row r="76" spans="1:14" s="186" customFormat="1" ht="12.95" customHeight="1" thickBot="1" x14ac:dyDescent="0.3">
      <c r="B76" s="183"/>
      <c r="C76" s="183"/>
      <c r="D76" s="183"/>
      <c r="E76" s="183"/>
      <c r="F76" s="182"/>
      <c r="G76" s="182"/>
      <c r="H76" s="187" t="s">
        <v>245</v>
      </c>
      <c r="I76" s="182"/>
      <c r="J76" s="215"/>
      <c r="K76" s="215"/>
      <c r="L76" s="202"/>
      <c r="M76" s="202"/>
      <c r="N76" s="278"/>
    </row>
    <row r="77" spans="1:14" s="186" customFormat="1" ht="15.75" customHeight="1" thickBot="1" x14ac:dyDescent="0.3">
      <c r="B77" s="183"/>
      <c r="C77" s="183"/>
      <c r="D77" s="183"/>
      <c r="E77" s="183"/>
      <c r="F77" s="182"/>
      <c r="G77" s="182"/>
      <c r="H77" s="187" t="s">
        <v>167</v>
      </c>
      <c r="I77" s="182"/>
      <c r="J77" s="181"/>
      <c r="K77" s="181"/>
      <c r="L77" s="202"/>
      <c r="M77" s="202"/>
      <c r="N77" s="279">
        <f>N75-N76</f>
        <v>0</v>
      </c>
    </row>
    <row r="78" spans="1:14" s="186" customFormat="1" ht="15" customHeight="1" x14ac:dyDescent="0.25">
      <c r="B78" s="183"/>
      <c r="C78" s="183"/>
      <c r="D78" s="183"/>
      <c r="E78" s="183"/>
      <c r="F78" s="182"/>
      <c r="G78" s="182"/>
      <c r="H78" s="187" t="s">
        <v>243</v>
      </c>
      <c r="I78" s="182"/>
      <c r="J78" s="182"/>
      <c r="K78" s="182"/>
      <c r="L78" s="225"/>
      <c r="M78" s="226"/>
      <c r="N78" s="280" t="e">
        <f>N75/N76</f>
        <v>#DIV/0!</v>
      </c>
    </row>
    <row r="79" spans="1:14" s="185" customFormat="1" ht="12.95" customHeight="1" x14ac:dyDescent="0.25">
      <c r="A79" s="187"/>
      <c r="B79" s="183"/>
      <c r="C79" s="183"/>
      <c r="D79" s="183"/>
      <c r="E79" s="183"/>
      <c r="F79" s="182"/>
      <c r="G79" s="182"/>
      <c r="H79" s="182"/>
      <c r="I79" s="182"/>
      <c r="J79" s="182"/>
      <c r="K79" s="182"/>
      <c r="L79" s="190"/>
      <c r="M79" s="190"/>
      <c r="N79" s="190"/>
    </row>
    <row r="80" spans="1:14" s="185" customFormat="1" ht="12.95" customHeight="1" x14ac:dyDescent="0.25">
      <c r="A80" s="187"/>
      <c r="B80" s="182"/>
      <c r="C80" s="182"/>
      <c r="D80" s="182"/>
      <c r="E80" s="182"/>
      <c r="F80" s="182"/>
      <c r="G80" s="182"/>
      <c r="H80" s="182"/>
      <c r="I80" s="182"/>
      <c r="J80" s="182"/>
      <c r="K80" s="182"/>
      <c r="L80" s="190"/>
      <c r="M80" s="190"/>
      <c r="N80" s="182"/>
    </row>
  </sheetData>
  <mergeCells count="6">
    <mergeCell ref="A1:N1"/>
    <mergeCell ref="A2:N2"/>
    <mergeCell ref="F4:H4"/>
    <mergeCell ref="I4:J4"/>
    <mergeCell ref="B4:D4"/>
    <mergeCell ref="M4:N4"/>
  </mergeCells>
  <printOptions horizontalCentered="1"/>
  <pageMargins left="0.25" right="0.25" top="0.5" bottom="0.5" header="0.25" footer="0.25"/>
  <pageSetup paperSize="5" scale="91"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80"/>
  <sheetViews>
    <sheetView view="pageLayout" zoomScaleNormal="100" workbookViewId="0">
      <selection activeCell="A79" sqref="A79:XFD80"/>
    </sheetView>
  </sheetViews>
  <sheetFormatPr defaultRowHeight="15" x14ac:dyDescent="0.25"/>
  <cols>
    <col min="1" max="1" width="12" customWidth="1"/>
    <col min="3" max="3" width="1.7109375" customWidth="1"/>
    <col min="4" max="4" width="23.28515625" customWidth="1"/>
    <col min="5" max="5" width="1" customWidth="1"/>
    <col min="6" max="6" width="9.5703125" customWidth="1"/>
    <col min="7" max="7" width="1.28515625" customWidth="1"/>
    <col min="8" max="8" width="7.28515625" customWidth="1"/>
    <col min="9" max="9" width="2.85546875" customWidth="1"/>
    <col min="10" max="10" width="12.42578125" customWidth="1"/>
    <col min="11" max="11" width="3.140625" customWidth="1"/>
    <col min="12" max="12" width="11.140625" customWidth="1"/>
    <col min="13" max="13" width="3.5703125" customWidth="1"/>
    <col min="14" max="14" width="12.42578125" customWidth="1"/>
  </cols>
  <sheetData>
    <row r="1" spans="1:14" x14ac:dyDescent="0.25">
      <c r="A1" s="792" t="s">
        <v>202</v>
      </c>
      <c r="B1" s="792"/>
      <c r="C1" s="792"/>
      <c r="D1" s="792"/>
      <c r="E1" s="792"/>
      <c r="F1" s="792"/>
      <c r="G1" s="792"/>
      <c r="H1" s="792"/>
      <c r="I1" s="792"/>
      <c r="J1" s="792"/>
      <c r="K1" s="792"/>
      <c r="L1" s="792"/>
      <c r="M1" s="792"/>
      <c r="N1" s="792"/>
    </row>
    <row r="2" spans="1:14" x14ac:dyDescent="0.25">
      <c r="A2" s="792" t="s">
        <v>246</v>
      </c>
      <c r="B2" s="792"/>
      <c r="C2" s="792"/>
      <c r="D2" s="792"/>
      <c r="E2" s="792"/>
      <c r="F2" s="792"/>
      <c r="G2" s="792"/>
      <c r="H2" s="792"/>
      <c r="I2" s="792"/>
      <c r="J2" s="792"/>
      <c r="K2" s="792"/>
      <c r="L2" s="792"/>
      <c r="M2" s="792"/>
      <c r="N2" s="792"/>
    </row>
    <row r="3" spans="1:14" x14ac:dyDescent="0.25">
      <c r="A3" s="176"/>
      <c r="B3" s="176"/>
      <c r="C3" s="176"/>
      <c r="D3" s="176"/>
      <c r="E3" s="176"/>
      <c r="F3" s="143"/>
      <c r="G3" s="143"/>
      <c r="H3" s="143"/>
      <c r="I3" s="143"/>
      <c r="J3" s="176"/>
      <c r="K3" s="176"/>
      <c r="L3" s="176"/>
      <c r="M3" s="176"/>
      <c r="N3" s="176"/>
    </row>
    <row r="4" spans="1:14" x14ac:dyDescent="0.25">
      <c r="A4" s="177" t="s">
        <v>239</v>
      </c>
      <c r="B4" s="795"/>
      <c r="C4" s="795"/>
      <c r="D4" s="795"/>
      <c r="E4" s="178"/>
      <c r="F4" s="793" t="s">
        <v>240</v>
      </c>
      <c r="G4" s="793"/>
      <c r="H4" s="793"/>
      <c r="I4" s="794"/>
      <c r="J4" s="794"/>
      <c r="K4" s="178"/>
      <c r="L4" s="227" t="s">
        <v>241</v>
      </c>
      <c r="M4" s="796" t="s">
        <v>274</v>
      </c>
      <c r="N4" s="796"/>
    </row>
    <row r="5" spans="1:14" ht="12.95" customHeight="1" x14ac:dyDescent="0.25">
      <c r="A5" s="156"/>
      <c r="B5" s="157"/>
      <c r="C5" s="157"/>
      <c r="D5" s="157"/>
      <c r="E5" s="157"/>
      <c r="F5" s="143"/>
      <c r="G5" s="143"/>
      <c r="H5" s="143"/>
      <c r="I5" s="143"/>
      <c r="J5" s="143"/>
      <c r="K5" s="179"/>
      <c r="L5" s="156"/>
      <c r="M5" s="156"/>
      <c r="N5" s="180"/>
    </row>
    <row r="6" spans="1:14" ht="12.95" customHeight="1" x14ac:dyDescent="0.25">
      <c r="A6" s="182"/>
      <c r="B6" s="182"/>
      <c r="C6" s="182"/>
      <c r="D6" s="182"/>
      <c r="E6" s="182"/>
      <c r="F6" s="183"/>
      <c r="G6" s="183"/>
      <c r="H6" s="183"/>
      <c r="I6" s="183"/>
      <c r="J6" s="184" t="s">
        <v>125</v>
      </c>
      <c r="K6" s="184"/>
      <c r="L6" s="184" t="s">
        <v>126</v>
      </c>
      <c r="M6" s="184"/>
      <c r="N6" s="184" t="s">
        <v>127</v>
      </c>
    </row>
    <row r="7" spans="1:14" ht="12.95" customHeight="1" x14ac:dyDescent="0.25">
      <c r="A7" s="182"/>
      <c r="B7" s="182"/>
      <c r="C7" s="182"/>
      <c r="D7" s="182"/>
      <c r="E7" s="182"/>
      <c r="F7" s="183"/>
      <c r="G7" s="183"/>
      <c r="H7" s="183"/>
      <c r="I7" s="183"/>
      <c r="J7" s="184" t="s">
        <v>128</v>
      </c>
      <c r="K7" s="184"/>
      <c r="L7" s="184" t="s">
        <v>129</v>
      </c>
      <c r="M7" s="184"/>
      <c r="N7" s="184" t="s">
        <v>128</v>
      </c>
    </row>
    <row r="8" spans="1:14" ht="12.95" customHeight="1" x14ac:dyDescent="0.25">
      <c r="A8" s="183"/>
      <c r="B8" s="183"/>
      <c r="C8" s="183"/>
      <c r="D8" s="183"/>
      <c r="E8" s="183"/>
      <c r="F8" s="183"/>
      <c r="G8" s="183"/>
      <c r="H8" s="183"/>
      <c r="I8" s="183"/>
      <c r="J8" s="181" t="s">
        <v>130</v>
      </c>
      <c r="K8" s="181"/>
      <c r="L8" s="181" t="s">
        <v>131</v>
      </c>
      <c r="M8" s="181"/>
      <c r="N8" s="181" t="s">
        <v>130</v>
      </c>
    </row>
    <row r="9" spans="1:14" ht="12.95" customHeight="1" thickBot="1" x14ac:dyDescent="0.3">
      <c r="A9" s="187" t="s">
        <v>132</v>
      </c>
      <c r="B9" s="182"/>
      <c r="C9" s="182"/>
      <c r="D9" s="182"/>
      <c r="E9" s="182"/>
      <c r="F9" s="183"/>
      <c r="G9" s="183"/>
      <c r="H9" s="183"/>
      <c r="I9" s="183"/>
      <c r="J9" s="188"/>
      <c r="K9" s="189"/>
      <c r="L9" s="260">
        <v>1</v>
      </c>
      <c r="M9" s="190"/>
      <c r="N9" s="246">
        <f>J9*L9</f>
        <v>0</v>
      </c>
    </row>
    <row r="10" spans="1:14" ht="12.95" customHeight="1" x14ac:dyDescent="0.25">
      <c r="A10" s="183"/>
      <c r="B10" s="182"/>
      <c r="C10" s="182"/>
      <c r="D10" s="182"/>
      <c r="E10" s="182"/>
      <c r="F10" s="183"/>
      <c r="G10" s="183"/>
      <c r="H10" s="183"/>
      <c r="I10" s="183"/>
      <c r="J10" s="191"/>
      <c r="K10" s="192"/>
      <c r="L10" s="193"/>
      <c r="M10" s="192"/>
      <c r="N10" s="269"/>
    </row>
    <row r="11" spans="1:14" ht="12.95" customHeight="1" thickBot="1" x14ac:dyDescent="0.3">
      <c r="A11" s="187" t="s">
        <v>133</v>
      </c>
      <c r="B11" s="182"/>
      <c r="C11" s="182"/>
      <c r="D11" s="182"/>
      <c r="E11" s="182"/>
      <c r="F11" s="183"/>
      <c r="G11" s="183"/>
      <c r="H11" s="183"/>
      <c r="I11" s="183"/>
      <c r="J11" s="188">
        <v>0</v>
      </c>
      <c r="K11" s="194"/>
      <c r="L11" s="260">
        <v>0.9</v>
      </c>
      <c r="M11" s="195"/>
      <c r="N11" s="246">
        <f>J11*L11</f>
        <v>0</v>
      </c>
    </row>
    <row r="12" spans="1:14" ht="12.95" customHeight="1" x14ac:dyDescent="0.25">
      <c r="A12" s="187"/>
      <c r="B12" s="182"/>
      <c r="C12" s="182"/>
      <c r="D12" s="182"/>
      <c r="E12" s="182"/>
      <c r="F12" s="183"/>
      <c r="G12" s="183"/>
      <c r="H12" s="183"/>
      <c r="I12" s="183"/>
      <c r="J12" s="196"/>
      <c r="K12" s="194"/>
      <c r="L12" s="261"/>
      <c r="M12" s="195"/>
      <c r="N12" s="248"/>
    </row>
    <row r="13" spans="1:14" ht="12.95" customHeight="1" x14ac:dyDescent="0.25">
      <c r="A13" s="187" t="s">
        <v>134</v>
      </c>
      <c r="B13" s="273" t="s">
        <v>33</v>
      </c>
      <c r="C13" s="199"/>
      <c r="D13" s="198" t="s">
        <v>135</v>
      </c>
      <c r="E13" s="199"/>
      <c r="F13" s="273" t="s">
        <v>9</v>
      </c>
      <c r="G13" s="199"/>
      <c r="H13" s="186"/>
      <c r="I13" s="182"/>
      <c r="J13" s="200"/>
      <c r="K13" s="201"/>
      <c r="L13" s="262"/>
      <c r="M13" s="190"/>
      <c r="N13" s="247"/>
    </row>
    <row r="14" spans="1:14" ht="12.95" customHeight="1" thickBot="1" x14ac:dyDescent="0.3">
      <c r="A14" s="203" t="s">
        <v>137</v>
      </c>
      <c r="B14" s="231"/>
      <c r="C14" s="232"/>
      <c r="D14" s="238"/>
      <c r="E14" s="232"/>
      <c r="F14" s="229"/>
      <c r="G14" s="182"/>
      <c r="H14" s="186"/>
      <c r="I14" s="182"/>
      <c r="J14" s="246">
        <f>B14*F14</f>
        <v>0</v>
      </c>
      <c r="K14" s="201"/>
      <c r="L14" s="260">
        <v>0.85</v>
      </c>
      <c r="M14" s="190"/>
      <c r="N14" s="246">
        <f t="shared" ref="N14:N16" si="0">J14*L14</f>
        <v>0</v>
      </c>
    </row>
    <row r="15" spans="1:14" ht="12.95" customHeight="1" thickBot="1" x14ac:dyDescent="0.3">
      <c r="A15" s="204"/>
      <c r="B15" s="237"/>
      <c r="C15" s="234"/>
      <c r="D15" s="240"/>
      <c r="E15" s="234"/>
      <c r="F15" s="229"/>
      <c r="G15" s="199"/>
      <c r="H15" s="186"/>
      <c r="I15" s="204"/>
      <c r="J15" s="246">
        <f>B15*F15</f>
        <v>0</v>
      </c>
      <c r="K15" s="206"/>
      <c r="L15" s="260">
        <v>0.85</v>
      </c>
      <c r="M15" s="207"/>
      <c r="N15" s="246">
        <f t="shared" si="0"/>
        <v>0</v>
      </c>
    </row>
    <row r="16" spans="1:14" ht="12.95" customHeight="1" thickBot="1" x14ac:dyDescent="0.3">
      <c r="A16" s="182"/>
      <c r="B16" s="274"/>
      <c r="C16" s="182"/>
      <c r="D16" s="275"/>
      <c r="E16" s="182"/>
      <c r="F16" s="274"/>
      <c r="G16" s="182"/>
      <c r="H16" s="186"/>
      <c r="I16" s="182"/>
      <c r="J16" s="246">
        <f>B16*F16</f>
        <v>0</v>
      </c>
      <c r="K16" s="201"/>
      <c r="L16" s="263">
        <v>0.85</v>
      </c>
      <c r="M16" s="190"/>
      <c r="N16" s="254">
        <f t="shared" si="0"/>
        <v>0</v>
      </c>
    </row>
    <row r="17" spans="1:14" ht="12.95" customHeight="1" x14ac:dyDescent="0.25">
      <c r="A17" s="187" t="s">
        <v>134</v>
      </c>
      <c r="B17" s="273" t="s">
        <v>54</v>
      </c>
      <c r="C17" s="199"/>
      <c r="D17" s="242" t="s">
        <v>135</v>
      </c>
      <c r="E17" s="199"/>
      <c r="F17" s="273" t="s">
        <v>136</v>
      </c>
      <c r="G17" s="199"/>
      <c r="H17" s="273" t="s">
        <v>56</v>
      </c>
      <c r="I17" s="183"/>
      <c r="J17" s="247"/>
      <c r="K17" s="201"/>
      <c r="L17" s="262"/>
      <c r="M17" s="190"/>
      <c r="N17" s="247"/>
    </row>
    <row r="18" spans="1:14" ht="12.95" customHeight="1" thickBot="1" x14ac:dyDescent="0.3">
      <c r="A18" s="203" t="s">
        <v>138</v>
      </c>
      <c r="B18" s="231"/>
      <c r="C18" s="232"/>
      <c r="D18" s="238"/>
      <c r="E18" s="232"/>
      <c r="F18" s="287"/>
      <c r="G18" s="181"/>
      <c r="H18" s="288"/>
      <c r="I18" s="182"/>
      <c r="J18" s="246">
        <f>B18*F18*H18</f>
        <v>0</v>
      </c>
      <c r="K18" s="206"/>
      <c r="L18" s="260">
        <v>0.85</v>
      </c>
      <c r="M18" s="207"/>
      <c r="N18" s="246">
        <f t="shared" ref="N18:N25" si="1">J18*L18</f>
        <v>0</v>
      </c>
    </row>
    <row r="19" spans="1:14" ht="12.95" customHeight="1" thickBot="1" x14ac:dyDescent="0.3">
      <c r="A19" s="204"/>
      <c r="B19" s="233"/>
      <c r="C19" s="234"/>
      <c r="D19" s="240"/>
      <c r="E19" s="234"/>
      <c r="F19" s="289"/>
      <c r="G19" s="184"/>
      <c r="H19" s="290"/>
      <c r="I19" s="209"/>
      <c r="J19" s="246">
        <f t="shared" ref="J19:J25" si="2">B19*F19*H19</f>
        <v>0</v>
      </c>
      <c r="K19" s="206"/>
      <c r="L19" s="263">
        <v>0.85</v>
      </c>
      <c r="M19" s="207"/>
      <c r="N19" s="246">
        <f t="shared" si="1"/>
        <v>0</v>
      </c>
    </row>
    <row r="20" spans="1:14" ht="12.95" customHeight="1" thickBot="1" x14ac:dyDescent="0.3">
      <c r="A20" s="204"/>
      <c r="B20" s="233"/>
      <c r="C20" s="234"/>
      <c r="D20" s="240"/>
      <c r="E20" s="234"/>
      <c r="F20" s="289"/>
      <c r="G20" s="184"/>
      <c r="H20" s="290"/>
      <c r="I20" s="209"/>
      <c r="J20" s="246">
        <f t="shared" ref="J20:J23" si="3">B20*F20*H20</f>
        <v>0</v>
      </c>
      <c r="K20" s="201"/>
      <c r="L20" s="263">
        <v>0.85</v>
      </c>
      <c r="M20" s="190"/>
      <c r="N20" s="246">
        <f t="shared" ref="N20:N23" si="4">J20*L20</f>
        <v>0</v>
      </c>
    </row>
    <row r="21" spans="1:14" ht="12.95" customHeight="1" thickBot="1" x14ac:dyDescent="0.3">
      <c r="A21" s="204"/>
      <c r="B21" s="233"/>
      <c r="C21" s="234"/>
      <c r="D21" s="240"/>
      <c r="E21" s="234"/>
      <c r="F21" s="289"/>
      <c r="G21" s="184"/>
      <c r="H21" s="290"/>
      <c r="I21" s="209"/>
      <c r="J21" s="246">
        <f t="shared" si="3"/>
        <v>0</v>
      </c>
      <c r="K21" s="201"/>
      <c r="L21" s="263">
        <v>0.85</v>
      </c>
      <c r="M21" s="190"/>
      <c r="N21" s="246">
        <f t="shared" si="4"/>
        <v>0</v>
      </c>
    </row>
    <row r="22" spans="1:14" ht="12.95" customHeight="1" thickBot="1" x14ac:dyDescent="0.3">
      <c r="A22" s="204"/>
      <c r="B22" s="233"/>
      <c r="C22" s="234"/>
      <c r="D22" s="240"/>
      <c r="E22" s="234"/>
      <c r="F22" s="289"/>
      <c r="G22" s="184"/>
      <c r="H22" s="290"/>
      <c r="I22" s="209"/>
      <c r="J22" s="246">
        <f t="shared" si="3"/>
        <v>0</v>
      </c>
      <c r="K22" s="201"/>
      <c r="L22" s="263">
        <v>0.85</v>
      </c>
      <c r="M22" s="190"/>
      <c r="N22" s="246">
        <f t="shared" si="4"/>
        <v>0</v>
      </c>
    </row>
    <row r="23" spans="1:14" ht="12.95" customHeight="1" thickBot="1" x14ac:dyDescent="0.3">
      <c r="A23" s="204"/>
      <c r="B23" s="233"/>
      <c r="C23" s="234"/>
      <c r="D23" s="240"/>
      <c r="E23" s="234"/>
      <c r="F23" s="289"/>
      <c r="G23" s="184"/>
      <c r="H23" s="290"/>
      <c r="I23" s="209"/>
      <c r="J23" s="246">
        <f t="shared" si="3"/>
        <v>0</v>
      </c>
      <c r="K23" s="201"/>
      <c r="L23" s="263">
        <v>0.85</v>
      </c>
      <c r="M23" s="190"/>
      <c r="N23" s="246">
        <f t="shared" si="4"/>
        <v>0</v>
      </c>
    </row>
    <row r="24" spans="1:14" ht="12.95" customHeight="1" thickBot="1" x14ac:dyDescent="0.3">
      <c r="A24" s="208"/>
      <c r="B24" s="235"/>
      <c r="C24" s="232"/>
      <c r="D24" s="239"/>
      <c r="E24" s="232"/>
      <c r="F24" s="291"/>
      <c r="G24" s="181"/>
      <c r="H24" s="292"/>
      <c r="I24" s="182"/>
      <c r="J24" s="246">
        <f t="shared" si="2"/>
        <v>0</v>
      </c>
      <c r="K24" s="201"/>
      <c r="L24" s="263">
        <v>0.85</v>
      </c>
      <c r="M24" s="190"/>
      <c r="N24" s="246">
        <f t="shared" si="1"/>
        <v>0</v>
      </c>
    </row>
    <row r="25" spans="1:14" ht="12.95" customHeight="1" thickBot="1" x14ac:dyDescent="0.3">
      <c r="A25" s="204"/>
      <c r="B25" s="236"/>
      <c r="C25" s="234"/>
      <c r="D25" s="238"/>
      <c r="E25" s="232"/>
      <c r="F25" s="287"/>
      <c r="G25" s="181"/>
      <c r="H25" s="288"/>
      <c r="I25" s="209"/>
      <c r="J25" s="246">
        <f t="shared" si="2"/>
        <v>0</v>
      </c>
      <c r="K25" s="206"/>
      <c r="L25" s="263">
        <v>0.85</v>
      </c>
      <c r="M25" s="207"/>
      <c r="N25" s="254">
        <f t="shared" si="1"/>
        <v>0</v>
      </c>
    </row>
    <row r="26" spans="1:14" ht="12.95" customHeight="1" x14ac:dyDescent="0.25">
      <c r="A26" s="182"/>
      <c r="B26" s="182"/>
      <c r="C26" s="182"/>
      <c r="D26" s="241"/>
      <c r="E26" s="182"/>
      <c r="F26" s="182"/>
      <c r="G26" s="182"/>
      <c r="H26" s="182"/>
      <c r="I26" s="182"/>
      <c r="J26" s="248"/>
      <c r="K26" s="201"/>
      <c r="L26" s="264"/>
      <c r="M26" s="190"/>
      <c r="N26" s="248"/>
    </row>
    <row r="27" spans="1:14" ht="12.95" customHeight="1" thickBot="1" x14ac:dyDescent="0.3">
      <c r="A27" s="183"/>
      <c r="B27" s="198" t="s">
        <v>139</v>
      </c>
      <c r="C27" s="199"/>
      <c r="D27" s="243"/>
      <c r="E27" s="199"/>
      <c r="F27" s="182"/>
      <c r="G27" s="182"/>
      <c r="H27" s="182"/>
      <c r="I27" s="182"/>
      <c r="J27" s="249">
        <f>SUM(J11:J25)</f>
        <v>0</v>
      </c>
      <c r="K27" s="201"/>
      <c r="L27" s="264"/>
      <c r="M27" s="190"/>
      <c r="N27" s="249">
        <f>SUM(N11:N25)</f>
        <v>0</v>
      </c>
    </row>
    <row r="28" spans="1:14" ht="12.95" customHeight="1" thickTop="1" x14ac:dyDescent="0.25">
      <c r="A28" s="209"/>
      <c r="B28" s="199"/>
      <c r="C28" s="199"/>
      <c r="D28" s="243"/>
      <c r="E28" s="199"/>
      <c r="F28" s="199"/>
      <c r="G28" s="199"/>
      <c r="H28" s="199"/>
      <c r="I28" s="209"/>
      <c r="J28" s="250"/>
      <c r="K28" s="206"/>
      <c r="L28" s="264"/>
      <c r="M28" s="190"/>
      <c r="N28" s="250"/>
    </row>
    <row r="29" spans="1:14" ht="12.95" customHeight="1" x14ac:dyDescent="0.25">
      <c r="A29" s="187" t="s">
        <v>140</v>
      </c>
      <c r="B29" s="273" t="s">
        <v>247</v>
      </c>
      <c r="C29" s="199"/>
      <c r="D29" s="242" t="s">
        <v>135</v>
      </c>
      <c r="E29" s="199"/>
      <c r="F29" s="273" t="s">
        <v>9</v>
      </c>
      <c r="G29" s="181"/>
      <c r="H29" s="186"/>
      <c r="I29" s="182"/>
      <c r="J29" s="251"/>
      <c r="K29" s="201"/>
      <c r="L29" s="264"/>
      <c r="M29" s="190"/>
      <c r="N29" s="251"/>
    </row>
    <row r="30" spans="1:14" ht="12.95" customHeight="1" thickBot="1" x14ac:dyDescent="0.3">
      <c r="A30" s="208"/>
      <c r="B30" s="228"/>
      <c r="C30" s="182"/>
      <c r="D30" s="244"/>
      <c r="E30" s="182"/>
      <c r="F30" s="205"/>
      <c r="G30" s="182"/>
      <c r="H30" s="186"/>
      <c r="I30" s="182"/>
      <c r="J30" s="246">
        <f t="shared" ref="J30:J32" si="5">B30*F30</f>
        <v>0</v>
      </c>
      <c r="K30" s="201"/>
      <c r="L30" s="260">
        <v>0.85</v>
      </c>
      <c r="M30" s="190"/>
      <c r="N30" s="246">
        <f t="shared" ref="N30:N36" si="6">J30*L30</f>
        <v>0</v>
      </c>
    </row>
    <row r="31" spans="1:14" ht="12.95" customHeight="1" thickBot="1" x14ac:dyDescent="0.3">
      <c r="A31" s="208"/>
      <c r="B31" s="228"/>
      <c r="C31" s="182"/>
      <c r="D31" s="244"/>
      <c r="E31" s="182"/>
      <c r="F31" s="205"/>
      <c r="G31" s="182"/>
      <c r="H31" s="186"/>
      <c r="I31" s="209"/>
      <c r="J31" s="246">
        <f t="shared" si="5"/>
        <v>0</v>
      </c>
      <c r="K31" s="201"/>
      <c r="L31" s="260">
        <v>0.85</v>
      </c>
      <c r="M31" s="190"/>
      <c r="N31" s="246">
        <f t="shared" si="6"/>
        <v>0</v>
      </c>
    </row>
    <row r="32" spans="1:14" ht="12.95" customHeight="1" thickBot="1" x14ac:dyDescent="0.3">
      <c r="A32" s="208"/>
      <c r="B32" s="299"/>
      <c r="C32" s="182"/>
      <c r="D32" s="300"/>
      <c r="E32" s="182"/>
      <c r="F32" s="301"/>
      <c r="G32" s="182"/>
      <c r="H32" s="186"/>
      <c r="I32" s="182"/>
      <c r="J32" s="246">
        <f t="shared" si="5"/>
        <v>0</v>
      </c>
      <c r="K32" s="201"/>
      <c r="L32" s="260">
        <v>0.85</v>
      </c>
      <c r="M32" s="190"/>
      <c r="N32" s="246">
        <f t="shared" si="6"/>
        <v>0</v>
      </c>
    </row>
    <row r="33" spans="1:14" ht="12.95" customHeight="1" thickBot="1" x14ac:dyDescent="0.3">
      <c r="A33" s="208"/>
      <c r="B33" s="297"/>
      <c r="C33" s="208"/>
      <c r="D33" s="298"/>
      <c r="E33" s="208"/>
      <c r="F33" s="302" t="s">
        <v>141</v>
      </c>
      <c r="G33" s="182"/>
      <c r="H33" s="303" t="s">
        <v>56</v>
      </c>
      <c r="I33" s="209"/>
      <c r="J33" s="246"/>
      <c r="K33" s="201"/>
      <c r="L33" s="260">
        <v>0.85</v>
      </c>
      <c r="M33" s="190"/>
      <c r="N33" s="246">
        <f t="shared" si="6"/>
        <v>0</v>
      </c>
    </row>
    <row r="34" spans="1:14" ht="12.95" customHeight="1" thickBot="1" x14ac:dyDescent="0.3">
      <c r="A34" s="208"/>
      <c r="B34" s="228"/>
      <c r="C34" s="182"/>
      <c r="D34" s="244"/>
      <c r="E34" s="182"/>
      <c r="F34" s="205"/>
      <c r="G34" s="182"/>
      <c r="H34" s="304"/>
      <c r="I34" s="182"/>
      <c r="J34" s="246">
        <f>B34*F34*H34</f>
        <v>0</v>
      </c>
      <c r="K34" s="201"/>
      <c r="L34" s="260">
        <v>0.85</v>
      </c>
      <c r="M34" s="190"/>
      <c r="N34" s="246">
        <f t="shared" si="6"/>
        <v>0</v>
      </c>
    </row>
    <row r="35" spans="1:14" ht="12.95" customHeight="1" thickBot="1" x14ac:dyDescent="0.3">
      <c r="A35" s="208"/>
      <c r="B35" s="228"/>
      <c r="C35" s="182"/>
      <c r="D35" s="244"/>
      <c r="E35" s="182"/>
      <c r="F35" s="205"/>
      <c r="G35" s="182"/>
      <c r="H35" s="304"/>
      <c r="I35" s="209"/>
      <c r="J35" s="246">
        <f t="shared" ref="J35:J36" si="7">B35*F35*H35</f>
        <v>0</v>
      </c>
      <c r="K35" s="201"/>
      <c r="L35" s="260">
        <v>0.85</v>
      </c>
      <c r="M35" s="190"/>
      <c r="N35" s="246">
        <f t="shared" si="6"/>
        <v>0</v>
      </c>
    </row>
    <row r="36" spans="1:14" ht="12.95" customHeight="1" thickBot="1" x14ac:dyDescent="0.3">
      <c r="A36" s="208"/>
      <c r="B36" s="228"/>
      <c r="C36" s="182"/>
      <c r="D36" s="244"/>
      <c r="E36" s="182"/>
      <c r="F36" s="205"/>
      <c r="G36" s="182"/>
      <c r="H36" s="304"/>
      <c r="I36" s="209"/>
      <c r="J36" s="252">
        <f t="shared" si="7"/>
        <v>0</v>
      </c>
      <c r="K36" s="201"/>
      <c r="L36" s="260">
        <v>0.85</v>
      </c>
      <c r="M36" s="195"/>
      <c r="N36" s="246">
        <f t="shared" si="6"/>
        <v>0</v>
      </c>
    </row>
    <row r="37" spans="1:14" ht="12.95" customHeight="1" thickTop="1" x14ac:dyDescent="0.25">
      <c r="A37" s="183"/>
      <c r="B37" s="187" t="s">
        <v>142</v>
      </c>
      <c r="C37" s="212"/>
      <c r="D37" s="212"/>
      <c r="E37" s="212"/>
      <c r="F37" s="183"/>
      <c r="G37" s="183"/>
      <c r="H37" s="183"/>
      <c r="I37" s="183"/>
      <c r="J37" s="253">
        <f>SUM(J30:J36)</f>
        <v>0</v>
      </c>
      <c r="K37" s="201"/>
      <c r="L37" s="264"/>
      <c r="M37" s="190"/>
      <c r="N37" s="253">
        <f>SUM(N30:N36)</f>
        <v>0</v>
      </c>
    </row>
    <row r="38" spans="1:14" ht="12.95" customHeight="1" x14ac:dyDescent="0.25">
      <c r="A38" s="209"/>
      <c r="B38" s="209"/>
      <c r="C38" s="209"/>
      <c r="D38" s="209"/>
      <c r="E38" s="209"/>
      <c r="F38" s="209"/>
      <c r="G38" s="209"/>
      <c r="H38" s="209"/>
      <c r="I38" s="209"/>
      <c r="J38" s="247"/>
      <c r="K38" s="206"/>
      <c r="L38" s="264"/>
      <c r="M38" s="190"/>
      <c r="N38" s="247"/>
    </row>
    <row r="39" spans="1:14" ht="12.95" customHeight="1" x14ac:dyDescent="0.25">
      <c r="A39" s="212"/>
      <c r="B39" s="214" t="s">
        <v>143</v>
      </c>
      <c r="C39" s="183"/>
      <c r="D39" s="183"/>
      <c r="E39" s="183"/>
      <c r="F39" s="183"/>
      <c r="G39" s="183"/>
      <c r="H39" s="183"/>
      <c r="I39" s="183"/>
      <c r="J39" s="253">
        <f>J27+J37</f>
        <v>0</v>
      </c>
      <c r="K39" s="201"/>
      <c r="L39" s="264"/>
      <c r="M39" s="190"/>
      <c r="N39" s="253">
        <f>N27+N37</f>
        <v>0</v>
      </c>
    </row>
    <row r="40" spans="1:14" ht="12.95" customHeight="1" x14ac:dyDescent="0.25">
      <c r="A40" s="209"/>
      <c r="B40" s="209"/>
      <c r="C40" s="209"/>
      <c r="D40" s="209"/>
      <c r="E40" s="209"/>
      <c r="F40" s="209"/>
      <c r="G40" s="209"/>
      <c r="H40" s="209"/>
      <c r="I40" s="209"/>
      <c r="J40" s="210"/>
      <c r="K40" s="206"/>
      <c r="L40" s="264"/>
      <c r="M40" s="190"/>
      <c r="N40" s="250"/>
    </row>
    <row r="41" spans="1:14" ht="12.95" customHeight="1" x14ac:dyDescent="0.25">
      <c r="A41" s="182"/>
      <c r="B41" s="182"/>
      <c r="C41" s="182"/>
      <c r="D41" s="182"/>
      <c r="E41" s="182"/>
      <c r="F41" s="183"/>
      <c r="G41" s="183"/>
      <c r="H41" s="183"/>
      <c r="I41" s="183"/>
      <c r="J41" s="211"/>
      <c r="K41" s="201"/>
      <c r="L41" s="264"/>
      <c r="M41" s="190"/>
      <c r="N41" s="251"/>
    </row>
    <row r="42" spans="1:14" ht="12.95" customHeight="1" x14ac:dyDescent="0.25">
      <c r="A42" s="187" t="s">
        <v>144</v>
      </c>
      <c r="B42" s="183"/>
      <c r="C42" s="183"/>
      <c r="D42" s="183"/>
      <c r="E42" s="183"/>
      <c r="F42" s="183"/>
      <c r="G42" s="183"/>
      <c r="H42" s="183"/>
      <c r="I42" s="183"/>
      <c r="J42" s="211"/>
      <c r="K42" s="201"/>
      <c r="L42" s="264"/>
      <c r="M42" s="190"/>
      <c r="N42" s="251"/>
    </row>
    <row r="43" spans="1:14" ht="12.95" customHeight="1" x14ac:dyDescent="0.25">
      <c r="A43" s="212" t="s">
        <v>145</v>
      </c>
      <c r="B43" s="183"/>
      <c r="C43" s="183"/>
      <c r="D43" s="183"/>
      <c r="E43" s="183"/>
      <c r="F43" s="183"/>
      <c r="G43" s="183"/>
      <c r="H43" s="183"/>
      <c r="I43" s="183"/>
      <c r="J43" s="211"/>
      <c r="K43" s="201"/>
      <c r="L43" s="264"/>
      <c r="M43" s="190"/>
      <c r="N43" s="251"/>
    </row>
    <row r="44" spans="1:14" ht="12.95" customHeight="1" thickBot="1" x14ac:dyDescent="0.3">
      <c r="A44" s="212" t="s">
        <v>146</v>
      </c>
      <c r="B44" s="183"/>
      <c r="C44" s="183"/>
      <c r="D44" s="183"/>
      <c r="E44" s="183"/>
      <c r="F44" s="183"/>
      <c r="G44" s="183"/>
      <c r="H44" s="183"/>
      <c r="I44" s="183"/>
      <c r="J44" s="188"/>
      <c r="K44" s="215"/>
      <c r="L44" s="260">
        <v>0.6</v>
      </c>
      <c r="M44" s="202"/>
      <c r="N44" s="246">
        <f>J44*L44</f>
        <v>0</v>
      </c>
    </row>
    <row r="45" spans="1:14" ht="12.95" customHeight="1" thickBot="1" x14ac:dyDescent="0.3">
      <c r="A45" s="212" t="s">
        <v>147</v>
      </c>
      <c r="B45" s="183"/>
      <c r="C45" s="183"/>
      <c r="D45" s="183"/>
      <c r="E45" s="183"/>
      <c r="F45" s="183"/>
      <c r="G45" s="183"/>
      <c r="H45" s="183"/>
      <c r="I45" s="183"/>
      <c r="J45" s="216"/>
      <c r="K45" s="215"/>
      <c r="L45" s="263">
        <v>0.8</v>
      </c>
      <c r="M45" s="202"/>
      <c r="N45" s="246">
        <f t="shared" ref="N45:N46" si="8">J45*L45</f>
        <v>0</v>
      </c>
    </row>
    <row r="46" spans="1:14" ht="12.95" customHeight="1" thickBot="1" x14ac:dyDescent="0.3">
      <c r="A46" s="212" t="s">
        <v>148</v>
      </c>
      <c r="B46" s="183"/>
      <c r="C46" s="183"/>
      <c r="D46" s="183"/>
      <c r="E46" s="183"/>
      <c r="F46" s="183"/>
      <c r="G46" s="183"/>
      <c r="H46" s="183"/>
      <c r="I46" s="183"/>
      <c r="J46" s="216"/>
      <c r="K46" s="215"/>
      <c r="L46" s="263">
        <v>0.5</v>
      </c>
      <c r="M46" s="202"/>
      <c r="N46" s="246">
        <f t="shared" si="8"/>
        <v>0</v>
      </c>
    </row>
    <row r="47" spans="1:14" ht="12.95" customHeight="1" thickBot="1" x14ac:dyDescent="0.3">
      <c r="A47" s="183"/>
      <c r="B47" s="187" t="s">
        <v>46</v>
      </c>
      <c r="C47" s="212"/>
      <c r="D47" s="212"/>
      <c r="E47" s="212"/>
      <c r="F47" s="183"/>
      <c r="G47" s="183"/>
      <c r="H47" s="183"/>
      <c r="I47" s="183"/>
      <c r="J47" s="254">
        <f>SUM(J44:J46)</f>
        <v>0</v>
      </c>
      <c r="K47" s="217"/>
      <c r="L47" s="262"/>
      <c r="M47" s="202"/>
      <c r="N47" s="270">
        <f>SUM(N44:N46)</f>
        <v>0</v>
      </c>
    </row>
    <row r="48" spans="1:14" ht="12.95" customHeight="1" thickBot="1" x14ac:dyDescent="0.3">
      <c r="A48" s="183"/>
      <c r="B48" s="187" t="s">
        <v>149</v>
      </c>
      <c r="C48" s="212"/>
      <c r="D48" s="212"/>
      <c r="E48" s="212"/>
      <c r="F48" s="183"/>
      <c r="G48" s="183"/>
      <c r="H48" s="183"/>
      <c r="I48" s="183"/>
      <c r="J48" s="218"/>
      <c r="K48" s="215"/>
      <c r="L48" s="262"/>
      <c r="M48" s="202"/>
      <c r="N48" s="271">
        <f>J48</f>
        <v>0</v>
      </c>
    </row>
    <row r="49" spans="1:14" ht="12.95" customHeight="1" thickTop="1" x14ac:dyDescent="0.25">
      <c r="A49" s="183"/>
      <c r="B49" s="187" t="s">
        <v>150</v>
      </c>
      <c r="C49" s="212"/>
      <c r="D49" s="212"/>
      <c r="E49" s="212"/>
      <c r="F49" s="183"/>
      <c r="G49" s="183"/>
      <c r="H49" s="183"/>
      <c r="I49" s="183"/>
      <c r="J49" s="255">
        <f>J47-J48</f>
        <v>0</v>
      </c>
      <c r="K49" s="217"/>
      <c r="L49" s="262"/>
      <c r="M49" s="202"/>
      <c r="N49" s="255">
        <f>N47-N48</f>
        <v>0</v>
      </c>
    </row>
    <row r="50" spans="1:14" ht="12.95" customHeight="1" x14ac:dyDescent="0.25">
      <c r="A50" s="183"/>
      <c r="B50" s="183"/>
      <c r="C50" s="183"/>
      <c r="D50" s="183"/>
      <c r="E50" s="183"/>
      <c r="F50" s="183"/>
      <c r="G50" s="183"/>
      <c r="H50" s="183"/>
      <c r="I50" s="183"/>
      <c r="J50" s="210"/>
      <c r="K50" s="206"/>
      <c r="L50" s="265"/>
      <c r="M50" s="189"/>
      <c r="N50" s="250"/>
    </row>
    <row r="51" spans="1:14" ht="12.95" customHeight="1" x14ac:dyDescent="0.25">
      <c r="A51" s="183"/>
      <c r="B51" s="183"/>
      <c r="C51" s="183"/>
      <c r="D51" s="183"/>
      <c r="E51" s="183"/>
      <c r="F51" s="183"/>
      <c r="G51" s="183"/>
      <c r="H51" s="183"/>
      <c r="I51" s="183"/>
      <c r="J51" s="219"/>
      <c r="K51" s="183"/>
      <c r="L51" s="183"/>
      <c r="M51" s="183"/>
      <c r="N51" s="272"/>
    </row>
    <row r="52" spans="1:14" ht="12.95" customHeight="1" x14ac:dyDescent="0.25">
      <c r="A52" s="187" t="s">
        <v>151</v>
      </c>
      <c r="B52" s="183"/>
      <c r="C52" s="183"/>
      <c r="D52" s="183"/>
      <c r="E52" s="183"/>
      <c r="F52" s="183"/>
      <c r="G52" s="183"/>
      <c r="H52" s="183"/>
      <c r="I52" s="183"/>
      <c r="J52" s="211"/>
      <c r="K52" s="201"/>
      <c r="L52" s="266"/>
      <c r="M52" s="190"/>
      <c r="N52" s="251"/>
    </row>
    <row r="53" spans="1:14" ht="12.95" customHeight="1" thickBot="1" x14ac:dyDescent="0.3">
      <c r="A53" s="212" t="s">
        <v>152</v>
      </c>
      <c r="B53" s="183"/>
      <c r="C53" s="183"/>
      <c r="D53" s="183"/>
      <c r="E53" s="183"/>
      <c r="F53" s="183"/>
      <c r="G53" s="183"/>
      <c r="H53" s="183"/>
      <c r="I53" s="183"/>
      <c r="J53" s="188"/>
      <c r="K53" s="215"/>
      <c r="L53" s="260">
        <v>0.7</v>
      </c>
      <c r="M53" s="202"/>
      <c r="N53" s="246">
        <f>J53*L53</f>
        <v>0</v>
      </c>
    </row>
    <row r="54" spans="1:14" ht="12.95" customHeight="1" thickBot="1" x14ac:dyDescent="0.3">
      <c r="A54" s="212" t="s">
        <v>153</v>
      </c>
      <c r="B54" s="183"/>
      <c r="C54" s="183"/>
      <c r="D54" s="183"/>
      <c r="E54" s="183"/>
      <c r="F54" s="183"/>
      <c r="G54" s="183"/>
      <c r="H54" s="183"/>
      <c r="I54" s="183"/>
      <c r="J54" s="218"/>
      <c r="K54" s="215"/>
      <c r="L54" s="260">
        <v>0.7</v>
      </c>
      <c r="M54" s="202"/>
      <c r="N54" s="252">
        <f>J54*L54</f>
        <v>0</v>
      </c>
    </row>
    <row r="55" spans="1:14" ht="12.95" customHeight="1" thickTop="1" x14ac:dyDescent="0.25">
      <c r="A55" s="183"/>
      <c r="B55" s="187" t="s">
        <v>46</v>
      </c>
      <c r="C55" s="212"/>
      <c r="D55" s="212"/>
      <c r="E55" s="212"/>
      <c r="F55" s="183"/>
      <c r="G55" s="183"/>
      <c r="H55" s="183"/>
      <c r="I55" s="183"/>
      <c r="J55" s="253">
        <f>SUM(J53:J54)</f>
        <v>0</v>
      </c>
      <c r="K55" s="217"/>
      <c r="L55" s="262"/>
      <c r="M55" s="202"/>
      <c r="N55" s="253">
        <f>SUM(N53:N54)</f>
        <v>0</v>
      </c>
    </row>
    <row r="56" spans="1:14" ht="12.95" customHeight="1" x14ac:dyDescent="0.25">
      <c r="A56" s="183"/>
      <c r="B56" s="212" t="s">
        <v>154</v>
      </c>
      <c r="C56" s="212"/>
      <c r="D56" s="212"/>
      <c r="E56" s="212"/>
      <c r="F56" s="183"/>
      <c r="G56" s="183"/>
      <c r="H56" s="183"/>
      <c r="I56" s="183"/>
      <c r="J56" s="196"/>
      <c r="K56" s="215"/>
      <c r="L56" s="262"/>
      <c r="M56" s="202"/>
      <c r="N56" s="248">
        <f>J56</f>
        <v>0</v>
      </c>
    </row>
    <row r="57" spans="1:14" ht="12.95" customHeight="1" thickBot="1" x14ac:dyDescent="0.3">
      <c r="A57" s="183"/>
      <c r="B57" s="187" t="s">
        <v>150</v>
      </c>
      <c r="C57" s="212"/>
      <c r="D57" s="212"/>
      <c r="E57" s="212"/>
      <c r="F57" s="183"/>
      <c r="G57" s="183"/>
      <c r="H57" s="183"/>
      <c r="I57" s="183"/>
      <c r="J57" s="256">
        <f>J55-J56</f>
        <v>0</v>
      </c>
      <c r="K57" s="217"/>
      <c r="L57" s="262"/>
      <c r="M57" s="202"/>
      <c r="N57" s="256">
        <f>N55-N56</f>
        <v>0</v>
      </c>
    </row>
    <row r="58" spans="1:14" ht="12.95" customHeight="1" thickTop="1" x14ac:dyDescent="0.25">
      <c r="A58" s="183"/>
      <c r="B58" s="183"/>
      <c r="C58" s="183"/>
      <c r="D58" s="183"/>
      <c r="E58" s="183"/>
      <c r="F58" s="183"/>
      <c r="G58" s="183"/>
      <c r="H58" s="183"/>
      <c r="I58" s="183"/>
      <c r="J58" s="197"/>
      <c r="K58" s="217"/>
      <c r="L58" s="267"/>
      <c r="M58" s="215"/>
      <c r="N58" s="248"/>
    </row>
    <row r="59" spans="1:14" ht="12.95" customHeight="1" thickBot="1" x14ac:dyDescent="0.3">
      <c r="A59" s="187" t="s">
        <v>155</v>
      </c>
      <c r="B59" s="183"/>
      <c r="C59" s="183"/>
      <c r="D59" s="183"/>
      <c r="E59" s="183"/>
      <c r="F59" s="183"/>
      <c r="G59" s="183"/>
      <c r="H59" s="183"/>
      <c r="I59" s="183"/>
      <c r="J59" s="276"/>
      <c r="K59" s="215"/>
      <c r="L59" s="268">
        <v>0.5</v>
      </c>
      <c r="M59" s="202"/>
      <c r="N59" s="249">
        <f>J59*L59</f>
        <v>0</v>
      </c>
    </row>
    <row r="60" spans="1:14" ht="12.95" customHeight="1" thickTop="1" x14ac:dyDescent="0.25">
      <c r="A60" s="183"/>
      <c r="B60" s="183"/>
      <c r="C60" s="183"/>
      <c r="D60" s="183"/>
      <c r="E60" s="183"/>
      <c r="F60" s="183"/>
      <c r="G60" s="183"/>
      <c r="H60" s="183"/>
      <c r="I60" s="183"/>
      <c r="J60" s="200"/>
      <c r="K60" s="217"/>
      <c r="L60" s="220"/>
      <c r="M60" s="220"/>
      <c r="N60" s="200"/>
    </row>
    <row r="61" spans="1:14" ht="12.95" customHeight="1" x14ac:dyDescent="0.25">
      <c r="A61" s="183"/>
      <c r="B61" s="183"/>
      <c r="C61" s="183"/>
      <c r="D61" s="183"/>
      <c r="E61" s="183"/>
      <c r="F61" s="183"/>
      <c r="G61" s="183"/>
      <c r="H61" s="183"/>
      <c r="I61" s="183"/>
      <c r="J61" s="221"/>
      <c r="K61" s="189"/>
      <c r="L61" s="190"/>
      <c r="M61" s="190"/>
      <c r="N61" s="211"/>
    </row>
    <row r="62" spans="1:14" ht="3.75" customHeight="1" x14ac:dyDescent="0.25">
      <c r="A62" s="282"/>
      <c r="B62" s="282"/>
      <c r="C62" s="282"/>
      <c r="D62" s="282"/>
      <c r="E62" s="282"/>
      <c r="F62" s="282"/>
      <c r="G62" s="282"/>
      <c r="H62" s="282"/>
      <c r="I62" s="282"/>
      <c r="J62" s="283"/>
      <c r="K62" s="284"/>
      <c r="L62" s="285"/>
      <c r="M62" s="285"/>
      <c r="N62" s="286"/>
    </row>
    <row r="63" spans="1:14" ht="12.95" customHeight="1" x14ac:dyDescent="0.25">
      <c r="A63" s="183"/>
      <c r="B63" s="183"/>
      <c r="C63" s="183"/>
      <c r="D63" s="183"/>
      <c r="E63" s="183"/>
      <c r="F63" s="183"/>
      <c r="G63" s="183"/>
      <c r="H63" s="183"/>
      <c r="I63" s="183"/>
      <c r="J63" s="221"/>
      <c r="K63" s="189"/>
      <c r="L63" s="190"/>
      <c r="M63" s="190"/>
      <c r="N63" s="211"/>
    </row>
    <row r="64" spans="1:14" ht="12.95" customHeight="1" x14ac:dyDescent="0.25">
      <c r="A64" s="183"/>
      <c r="B64" s="281" t="s">
        <v>159</v>
      </c>
      <c r="C64" s="183"/>
      <c r="D64" s="183"/>
      <c r="E64" s="183"/>
      <c r="F64" s="183"/>
      <c r="G64" s="183"/>
      <c r="H64" s="184" t="s">
        <v>156</v>
      </c>
      <c r="I64" s="183"/>
      <c r="J64" s="257" t="s">
        <v>127</v>
      </c>
      <c r="K64" s="258"/>
      <c r="L64" s="259" t="s">
        <v>157</v>
      </c>
      <c r="M64" s="202"/>
      <c r="N64" s="222" t="s">
        <v>158</v>
      </c>
    </row>
    <row r="65" spans="1:14" ht="12.95" customHeight="1" x14ac:dyDescent="0.25">
      <c r="A65" s="186"/>
      <c r="B65" s="183"/>
      <c r="C65" s="183"/>
      <c r="D65" s="186"/>
      <c r="E65" s="183"/>
      <c r="F65" s="183"/>
      <c r="G65" s="183"/>
      <c r="H65" s="184" t="s">
        <v>160</v>
      </c>
      <c r="I65" s="183"/>
      <c r="J65" s="257" t="s">
        <v>128</v>
      </c>
      <c r="K65" s="258"/>
      <c r="L65" s="259" t="s">
        <v>161</v>
      </c>
      <c r="M65" s="202"/>
      <c r="N65" s="213" t="s">
        <v>9</v>
      </c>
    </row>
    <row r="66" spans="1:14" ht="12.95" customHeight="1" x14ac:dyDescent="0.25">
      <c r="A66" s="212" t="s">
        <v>99</v>
      </c>
      <c r="B66" s="183"/>
      <c r="C66" s="183"/>
      <c r="D66" s="183"/>
      <c r="E66" s="183"/>
      <c r="F66" s="183"/>
      <c r="G66" s="183"/>
      <c r="H66" s="183"/>
      <c r="I66" s="183"/>
      <c r="J66" s="221"/>
      <c r="K66" s="189"/>
      <c r="L66" s="190"/>
      <c r="M66" s="190"/>
      <c r="N66" s="211"/>
    </row>
    <row r="67" spans="1:14" ht="12.95" customHeight="1" thickBot="1" x14ac:dyDescent="0.3">
      <c r="A67" s="186"/>
      <c r="B67" s="183"/>
      <c r="C67" s="183"/>
      <c r="D67" s="187" t="s">
        <v>162</v>
      </c>
      <c r="E67" s="183"/>
      <c r="F67" s="183"/>
      <c r="G67" s="183"/>
      <c r="H67" s="223">
        <v>0.1</v>
      </c>
      <c r="I67" s="183"/>
      <c r="J67" s="246">
        <f>N27</f>
        <v>0</v>
      </c>
      <c r="K67" s="217"/>
      <c r="L67" s="246">
        <f>J67*H67</f>
        <v>0</v>
      </c>
      <c r="M67" s="217"/>
      <c r="N67" s="246">
        <f>J67-L67</f>
        <v>0</v>
      </c>
    </row>
    <row r="68" spans="1:14" ht="12.95" customHeight="1" thickBot="1" x14ac:dyDescent="0.3">
      <c r="A68" s="186"/>
      <c r="B68" s="183"/>
      <c r="C68" s="183"/>
      <c r="D68" s="187" t="s">
        <v>163</v>
      </c>
      <c r="E68" s="183"/>
      <c r="F68" s="183"/>
      <c r="G68" s="183"/>
      <c r="H68" s="224">
        <v>0.1</v>
      </c>
      <c r="I68" s="183"/>
      <c r="J68" s="254">
        <f>N37</f>
        <v>0</v>
      </c>
      <c r="K68" s="217"/>
      <c r="L68" s="246">
        <f t="shared" ref="L68:L72" si="9">J68*H68</f>
        <v>0</v>
      </c>
      <c r="M68" s="217"/>
      <c r="N68" s="254">
        <f t="shared" ref="N68:N72" si="10">J68-L68</f>
        <v>0</v>
      </c>
    </row>
    <row r="69" spans="1:14" ht="12.95" customHeight="1" thickBot="1" x14ac:dyDescent="0.3">
      <c r="A69" s="186"/>
      <c r="B69" s="183"/>
      <c r="C69" s="183"/>
      <c r="D69" s="187" t="s">
        <v>164</v>
      </c>
      <c r="E69" s="183"/>
      <c r="F69" s="183"/>
      <c r="G69" s="183"/>
      <c r="H69" s="224">
        <v>0.1</v>
      </c>
      <c r="I69" s="183"/>
      <c r="J69" s="254">
        <f>N49</f>
        <v>0</v>
      </c>
      <c r="K69" s="217"/>
      <c r="L69" s="246">
        <f t="shared" si="9"/>
        <v>0</v>
      </c>
      <c r="M69" s="217"/>
      <c r="N69" s="254">
        <f t="shared" si="10"/>
        <v>0</v>
      </c>
    </row>
    <row r="70" spans="1:14" ht="12.95" customHeight="1" thickBot="1" x14ac:dyDescent="0.3">
      <c r="A70" s="186"/>
      <c r="B70" s="183"/>
      <c r="C70" s="183"/>
      <c r="D70" s="187" t="s">
        <v>165</v>
      </c>
      <c r="E70" s="183"/>
      <c r="F70" s="183"/>
      <c r="G70" s="183"/>
      <c r="H70" s="224">
        <v>0.1</v>
      </c>
      <c r="I70" s="183"/>
      <c r="J70" s="254">
        <f>N57</f>
        <v>0</v>
      </c>
      <c r="K70" s="217"/>
      <c r="L70" s="246">
        <f t="shared" si="9"/>
        <v>0</v>
      </c>
      <c r="M70" s="217"/>
      <c r="N70" s="246">
        <f t="shared" si="10"/>
        <v>0</v>
      </c>
    </row>
    <row r="71" spans="1:14" ht="12.95" customHeight="1" thickBot="1" x14ac:dyDescent="0.3">
      <c r="A71" s="186"/>
      <c r="B71" s="183"/>
      <c r="C71" s="183"/>
      <c r="D71" s="187" t="s">
        <v>242</v>
      </c>
      <c r="E71" s="183"/>
      <c r="F71" s="183"/>
      <c r="G71" s="183"/>
      <c r="H71" s="224">
        <v>0</v>
      </c>
      <c r="I71" s="183"/>
      <c r="J71" s="254">
        <f>N9</f>
        <v>0</v>
      </c>
      <c r="K71" s="217"/>
      <c r="L71" s="277">
        <f t="shared" si="9"/>
        <v>0</v>
      </c>
      <c r="M71" s="217"/>
      <c r="N71" s="277">
        <f t="shared" si="10"/>
        <v>0</v>
      </c>
    </row>
    <row r="72" spans="1:14" ht="12.95" customHeight="1" thickBot="1" x14ac:dyDescent="0.3">
      <c r="A72" s="186"/>
      <c r="B72" s="183"/>
      <c r="C72" s="183"/>
      <c r="D72" s="187" t="s">
        <v>166</v>
      </c>
      <c r="E72" s="183"/>
      <c r="F72" s="183"/>
      <c r="G72" s="183"/>
      <c r="H72" s="224">
        <v>0.25</v>
      </c>
      <c r="I72" s="183"/>
      <c r="J72" s="254">
        <f>N59</f>
        <v>0</v>
      </c>
      <c r="K72" s="217"/>
      <c r="L72" s="246">
        <f t="shared" si="9"/>
        <v>0</v>
      </c>
      <c r="M72" s="217"/>
      <c r="N72" s="246">
        <f t="shared" si="10"/>
        <v>0</v>
      </c>
    </row>
    <row r="73" spans="1:14" ht="12.95" customHeight="1" x14ac:dyDescent="0.25">
      <c r="A73" s="183"/>
      <c r="B73" s="183"/>
      <c r="C73" s="183"/>
      <c r="D73" s="183"/>
      <c r="E73" s="183"/>
      <c r="F73" s="182"/>
      <c r="G73" s="182"/>
      <c r="H73" s="182"/>
      <c r="I73" s="182"/>
      <c r="J73" s="217"/>
      <c r="K73" s="217"/>
      <c r="L73" s="217"/>
      <c r="M73" s="217"/>
      <c r="N73" s="247"/>
    </row>
    <row r="74" spans="1:14" ht="15.75" thickBot="1" x14ac:dyDescent="0.3">
      <c r="A74" s="186"/>
      <c r="B74" s="183"/>
      <c r="C74" s="183"/>
      <c r="D74" s="183"/>
      <c r="E74" s="183"/>
      <c r="F74" s="182"/>
      <c r="G74" s="182"/>
      <c r="H74" s="187" t="s">
        <v>244</v>
      </c>
      <c r="I74" s="182"/>
      <c r="J74" s="215"/>
      <c r="K74" s="215"/>
      <c r="L74" s="202"/>
      <c r="M74" s="202"/>
      <c r="N74" s="246">
        <f>SUM(N67:N72)</f>
        <v>0</v>
      </c>
    </row>
    <row r="75" spans="1:14" ht="15.75" thickBot="1" x14ac:dyDescent="0.3">
      <c r="A75" s="186"/>
      <c r="B75" s="183"/>
      <c r="C75" s="183"/>
      <c r="D75" s="183"/>
      <c r="E75" s="183"/>
      <c r="F75" s="182"/>
      <c r="G75" s="182"/>
      <c r="H75" s="187" t="s">
        <v>245</v>
      </c>
      <c r="I75" s="182"/>
      <c r="J75" s="215"/>
      <c r="K75" s="215"/>
      <c r="L75" s="202"/>
      <c r="M75" s="202"/>
      <c r="N75" s="278"/>
    </row>
    <row r="76" spans="1:14" ht="15.75" thickBot="1" x14ac:dyDescent="0.3">
      <c r="A76" s="186"/>
      <c r="B76" s="183"/>
      <c r="C76" s="183"/>
      <c r="D76" s="183"/>
      <c r="E76" s="183"/>
      <c r="F76" s="182"/>
      <c r="G76" s="182"/>
      <c r="H76" s="187" t="s">
        <v>167</v>
      </c>
      <c r="I76" s="182"/>
      <c r="J76" s="181"/>
      <c r="K76" s="181"/>
      <c r="L76" s="202"/>
      <c r="M76" s="202"/>
      <c r="N76" s="279">
        <f>N74-N75</f>
        <v>0</v>
      </c>
    </row>
    <row r="77" spans="1:14" x14ac:dyDescent="0.25">
      <c r="A77" s="186"/>
      <c r="B77" s="183"/>
      <c r="C77" s="183"/>
      <c r="D77" s="183"/>
      <c r="E77" s="183"/>
      <c r="F77" s="182"/>
      <c r="G77" s="182"/>
      <c r="H77" s="187" t="s">
        <v>243</v>
      </c>
      <c r="I77" s="182"/>
      <c r="J77" s="182"/>
      <c r="K77" s="182"/>
      <c r="L77" s="225"/>
      <c r="M77" s="226"/>
      <c r="N77" s="280" t="e">
        <f>N74/N75</f>
        <v>#DIV/0!</v>
      </c>
    </row>
    <row r="78" spans="1:14" x14ac:dyDescent="0.25">
      <c r="A78" s="186"/>
      <c r="B78" s="183"/>
      <c r="C78" s="183"/>
      <c r="D78" s="183"/>
      <c r="E78" s="183"/>
      <c r="F78" s="182"/>
      <c r="G78" s="182"/>
      <c r="H78" s="187"/>
      <c r="I78" s="182"/>
      <c r="J78" s="182"/>
      <c r="K78" s="182"/>
      <c r="L78" s="225"/>
      <c r="M78" s="226"/>
      <c r="N78" s="280"/>
    </row>
    <row r="79" spans="1:14" s="558" customFormat="1" x14ac:dyDescent="0.25"/>
    <row r="80" spans="1:14" s="558" customFormat="1" x14ac:dyDescent="0.25"/>
  </sheetData>
  <mergeCells count="6">
    <mergeCell ref="B4:D4"/>
    <mergeCell ref="F4:H4"/>
    <mergeCell ref="I4:J4"/>
    <mergeCell ref="M4:N4"/>
    <mergeCell ref="A1:N1"/>
    <mergeCell ref="A2:N2"/>
  </mergeCells>
  <printOptions horizontalCentered="1"/>
  <pageMargins left="0.25" right="0.25" top="0.5" bottom="0.5" header="0.25" footer="0.25"/>
  <pageSetup paperSize="5" scale="9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Balance Sheet</vt:lpstr>
      <vt:lpstr>Annual Budget</vt:lpstr>
      <vt:lpstr>Monthly Budget</vt:lpstr>
      <vt:lpstr>Machinery Schedule</vt:lpstr>
      <vt:lpstr>Current Coll. Val.</vt:lpstr>
      <vt:lpstr>Pro forma Coll. Val.</vt:lpstr>
      <vt:lpstr>'Machinery Schedule'!Print_Area</vt:lpstr>
      <vt:lpstr>'Pro forma Coll. Val.'!Print_Area</vt:lpstr>
    </vt:vector>
  </TitlesOfParts>
  <Company>Glacier Bancorp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Chad Robinson</dc:creator>
  <cp:lastModifiedBy>Chris Mattson</cp:lastModifiedBy>
  <cp:lastPrinted>2019-04-24T22:59:16Z</cp:lastPrinted>
  <dcterms:created xsi:type="dcterms:W3CDTF">2017-11-09T21:22:56Z</dcterms:created>
  <dcterms:modified xsi:type="dcterms:W3CDTF">2021-08-27T16:41:21Z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{08773783-666E-495E-8110-22601DCF74A0}</vt:lpwstr>
  </property>
</Properties>
</file>